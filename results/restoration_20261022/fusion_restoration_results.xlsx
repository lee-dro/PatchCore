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a9495a3f64e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汇总" sheetId="1" r:id="Rd0178dabaa084058"/>
    <x:sheet xmlns:r="http://schemas.openxmlformats.org/officeDocument/2006/relationships" name="本次记录" sheetId="2" r:id="R7b136ff536a54c8e"/>
    <x:sheet xmlns:r="http://schemas.openxmlformats.org/officeDocument/2006/relationships" name="历史记录" sheetId="3" r:id="R41907b8d91544c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"/>
    <x:numFmt numFmtId="201" formatCode="+0.000000;-0.000000;0.000000"/>
    <x:numFmt numFmtId="202" formatCode="0.0000"/>
    <x:numFmt numFmtId="203" formatCode="0.00"/>
    <x:numFmt numFmtId="204" formatCode="#,##0"/>
  </x:numFmts>
  <x:fonts count="5">
    <x:font>
      <x:sz val="11"/>
      <x:name val="Carlito"/>
    </x:font>
    <x:font>
      <x:sz val="11"/>
      <x:color rgb="FF202D3A"/>
      <x:name val="Arial"/>
    </x:font>
    <x:font>
      <x:b/>
      <x:sz val="15"/>
      <x:color rgb="FF243F58"/>
      <x:name val="Arial"/>
    </x:font>
    <x:font>
      <x:sz val="11"/>
      <x:color rgb="FF6651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D435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ont>
        <x:color rgb="FFA7282E"/>
      </x:font>
    </x:dxf>
    <x:dxf>
      <x:font>
        <x:color rgb="FF216F51"/>
      </x:font>
    </x:dxf>
    <x:dxf>
      <x:font>
        <x:color rgb="FFA7282E"/>
      </x:font>
    </x:dxf>
    <x:dxf>
      <x:font>
        <x:color rgb="FF216F51"/>
      </x:font>
    </x:dxf>
    <x:dxf>
      <x:font>
        <x:color rgb="FFA7282E"/>
      </x:font>
    </x:dxf>
    <x:dxf>
      <x:font>
        <x:color rgb="FF216F51"/>
      </x:font>
    </x:dxf>
    <x:dxf>
      <x:font>
        <x:color rgb="FFA7282E"/>
      </x:font>
    </x:dxf>
    <x:dxf>
      <x:font>
        <x:color rgb="FF216F51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4b8854ea704e47" /><Relationship Type="http://schemas.openxmlformats.org/officeDocument/2006/relationships/theme" Target="/xl/theme/theme1.xml" Id="Rec23902a5f9d476e" /><Relationship Type="http://schemas.openxmlformats.org/officeDocument/2006/relationships/sharedStrings" Target="/xl/sharedStrings.xml" Id="R489c2a05017f44d8" /><Relationship Type="http://schemas.openxmlformats.org/officeDocument/2006/relationships/worksheet" Target="/xl/worksheets/sheet1.xml" Id="Rd0178dabaa084058" /><Relationship Type="http://schemas.openxmlformats.org/officeDocument/2006/relationships/worksheet" Target="/xl/worksheets/sheet2.xml" Id="R7b136ff536a54c8e" /><Relationship Type="http://schemas.openxmlformats.org/officeDocument/2006/relationships/worksheet" Target="/xl/worksheets/sheet3.xml" Id="R41907b8d91544c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D4356"/>
  </x:sheetPr>
  <x:sheetViews>
    <x:sheetView showGridLines="0" workbookViewId="0"/>
  </x:sheetViews>
  <x:sheetFormatPr defaultRowHeight="15"/>
  <x:cols>
    <x:col min="1" max="1" width="18" hidden="0" customWidth="1"/>
    <x:col min="2" max="2" width="2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3" t="str">
        <x:v>PatchCore 双分支方案恢复与验证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4" t="str">
        <x:v>历史 15 类×5 seed；本次 3 类×5 seed。两种协议分开报告，AUROC 使用 0–1 标度。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 ht="22" customHeight="1">
      <x:c r="A5" s="4" t="str">
        <x:v>门控仍有失败类别。所有类别均为既有研究类别，本次不是未见类别验证。</x:v>
      </x:c>
      <x:c r="B5" s="4"/>
      <x:c r="C5" s="4"/>
      <x:c r="D5" s="4"/>
      <x:c r="E5" s="4"/>
      <x:c r="F5" s="4"/>
      <x:c r="G5" s="4"/>
      <x:c r="H5" s="4"/>
      <x:c r="I5" s="4"/>
      <x:c r="J5" s="4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22" customHeight="1">
      <x:c r="A7" s="2" t="str">
        <x:v>历史结果（类别等权；每类别5次）</x:v>
      </x:c>
      <x:c r="B7" s="2"/>
      <x:c r="C7" s="2"/>
      <x:c r="D7" s="2"/>
      <x:c r="E7" s="2"/>
      <x:c r="F7" s="2"/>
      <x:c r="G7" s="2"/>
      <x:c r="H7" s="2"/>
      <x:c r="I7" s="2"/>
      <x:c r="J7" s="2"/>
    </x:row>
    <x:row r="8" ht="34" customHeight="1">
      <x:c r="A8" s="8" t="str">
        <x:v>方法</x:v>
      </x:c>
      <x:c r="B8" s="8" t="str">
        <x:v>图像均值</x:v>
      </x:c>
      <x:c r="C8" s="8" t="str">
        <x:v>全像素均值</x:v>
      </x:c>
      <x:c r="D8" s="8" t="str">
        <x:v>异常像素均值</x:v>
      </x:c>
      <x:c r="E8" s="8" t="str">
        <x:v>全像素Δ固定</x:v>
      </x:c>
      <x:c r="F8" s="8" t="str">
        <x:v>异常像素Δ固定</x:v>
      </x:c>
      <x:c r="G8" s="8" t="str">
        <x:v>图像Δ固定</x:v>
      </x:c>
      <x:c r="H8" s="2"/>
      <x:c r="I8" s="2"/>
      <x:c r="J8" s="2"/>
    </x:row>
    <x:row r="9" ht="22" customHeight="1">
      <x:c r="A9" s="2" t="str">
        <x:v>双分支固定</x:v>
      </x:c>
      <x:c r="B9" s="9" t="n">
        <x:f>AVERAGEIFS('历史记录'!D$5:D$304,'历史记录'!$C$5:$C$304,$A9)</x:f>
        <x:v>0.9857280718391136</x:v>
      </x:c>
      <x:c r="C9" s="9" t="n">
        <x:f>AVERAGEIFS('历史记录'!E$5:E$304,'历史记录'!$C$5:$C$304,$A9)</x:f>
        <x:v>0.9769715691039842</x:v>
      </x:c>
      <x:c r="D9" s="9" t="n">
        <x:f>AVERAGEIFS('历史记录'!F$5:F$304,'历史记录'!$C$5:$C$304,$A9)</x:f>
        <x:v>0.9683824108187321</x:v>
      </x:c>
      <x:c r="E9" s="10" t="n">
        <x:f>C9-$C$9</x:f>
        <x:v>0</x:v>
      </x:c>
      <x:c r="F9" s="10" t="n">
        <x:f>D9-$D$9</x:f>
        <x:v>0</x:v>
      </x:c>
      <x:c r="G9" s="10" t="n">
        <x:f>B9-$B$9</x:f>
        <x:v>0</x:v>
      </x:c>
      <x:c r="H9" s="2"/>
      <x:c r="I9" s="2"/>
      <x:c r="J9" s="2"/>
    </x:row>
    <x:row r="10" ht="22" customHeight="1">
      <x:c r="A10" s="2" t="str">
        <x:v>像素敏感性</x:v>
      </x:c>
      <x:c r="B10" s="9" t="n">
        <x:f>AVERAGEIFS('历史记录'!D$5:D$304,'历史记录'!$C$5:$C$304,$A10)</x:f>
        <x:v>0.9857280718391136</x:v>
      </x:c>
      <x:c r="C10" s="9" t="n">
        <x:f>AVERAGEIFS('历史记录'!E$5:E$304,'历史记录'!$C$5:$C$304,$A10)</x:f>
        <x:v>0.9746636178189182</x:v>
      </x:c>
      <x:c r="D10" s="9" t="n">
        <x:f>AVERAGEIFS('历史记录'!F$5:F$304,'历史记录'!$C$5:$C$304,$A10)</x:f>
        <x:v>0.9666460417421333</x:v>
      </x:c>
      <x:c r="E10" s="10" t="n">
        <x:f>C10-$C$9</x:f>
        <x:v>-0.002307951285066001</x:v>
      </x:c>
      <x:c r="F10" s="10" t="n">
        <x:f>D10-$D$9</x:f>
        <x:v>-0.0017363690765987982</x:v>
      </x:c>
      <x:c r="G10" s="10" t="n">
        <x:f>B10-$B$9</x:f>
        <x:v>0</x:v>
      </x:c>
      <x:c r="H10" s="2"/>
      <x:c r="I10" s="2"/>
      <x:c r="J10" s="2"/>
    </x:row>
    <x:row r="11" ht="22" customHeight="1">
      <x:c r="A11" s="2" t="str">
        <x:v>收缩0.25</x:v>
      </x:c>
      <x:c r="B11" s="9" t="n">
        <x:f>AVERAGEIFS('历史记录'!D$5:D$304,'历史记录'!$C$5:$C$304,$A11)</x:f>
        <x:v>0.9857280718391136</x:v>
      </x:c>
      <x:c r="C11" s="9" t="n">
        <x:f>AVERAGEIFS('历史记录'!E$5:E$304,'历史记录'!$C$5:$C$304,$A11)</x:f>
        <x:v>0.9771474312713447</x:v>
      </x:c>
      <x:c r="D11" s="9" t="n">
        <x:f>AVERAGEIFS('历史记录'!F$5:F$304,'历史记录'!$C$5:$C$304,$A11)</x:f>
        <x:v>0.9686931726663498</x:v>
      </x:c>
      <x:c r="E11" s="10" t="n">
        <x:f>C11-$C$9</x:f>
        <x:v>0.00017586216736054094</x:v>
      </x:c>
      <x:c r="F11" s="10" t="n">
        <x:f>D11-$D$9</x:f>
        <x:v>0.000310761847617691</x:v>
      </x:c>
      <x:c r="G11" s="10" t="n">
        <x:f>B11-$B$9</x:f>
        <x:v>0</x:v>
      </x:c>
      <x:c r="H11" s="2"/>
      <x:c r="I11" s="2"/>
      <x:c r="J11" s="2"/>
    </x:row>
    <x:row r="12" ht="22" customHeight="1">
      <x:c r="A12" s="2" t="str">
        <x:v>门控加收缩</x:v>
      </x:c>
      <x:c r="B12" s="9" t="n">
        <x:f>AVERAGEIFS('历史记录'!D$5:D$304,'历史记录'!$C$5:$C$304,$A12)</x:f>
        <x:v>0.9857280718391136</x:v>
      </x:c>
      <x:c r="C12" s="9" t="n">
        <x:f>AVERAGEIFS('历史记录'!E$5:E$304,'历史记录'!$C$5:$C$304,$A12)</x:f>
        <x:v>0.9773598302570126</x:v>
      </x:c>
      <x:c r="D12" s="9" t="n">
        <x:f>AVERAGEIFS('历史记录'!F$5:F$304,'历史记录'!$C$5:$C$304,$A12)</x:f>
        <x:v>0.9688837290752824</x:v>
      </x:c>
      <x:c r="E12" s="10" t="n">
        <x:f>C12-$C$9</x:f>
        <x:v>0.0003882611530283686</x:v>
      </x:c>
      <x:c r="F12" s="10" t="n">
        <x:f>D12-$D$9</x:f>
        <x:v>0.0005013182565503094</x:v>
      </x:c>
      <x:c r="G12" s="10" t="n">
        <x:f>B12-$B$9</x:f>
        <x:v>0</x:v>
      </x:c>
      <x:c r="H12" s="2"/>
      <x:c r="I12" s="2"/>
      <x:c r="J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2" customHeight="1">
      <x:c r="A14" s="2" t="str">
        <x:v>历史不确定性（Python：按类别均值 bootstrap / 双侧精确符号置换）</x:v>
      </x:c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34" customHeight="1">
      <x:c r="A15" s="8" t="str">
        <x:v>方法</x:v>
      </x:c>
      <x:c r="B15" s="8" t="str">
        <x:v>指标</x:v>
      </x:c>
      <x:c r="C15" s="8" t="str">
        <x:v>类别数</x:v>
      </x:c>
      <x:c r="D15" s="8" t="str">
        <x:v>均值差</x:v>
      </x:c>
      <x:c r="E15" s="8" t="str">
        <x:v>95%下界</x:v>
      </x:c>
      <x:c r="F15" s="8" t="str">
        <x:v>95%上界</x:v>
      </x:c>
      <x:c r="G15" s="8" t="str">
        <x:v>置换p值</x:v>
      </x:c>
      <x:c r="H15" s="2"/>
      <x:c r="I15" s="2"/>
      <x:c r="J15" s="2"/>
    </x:row>
    <x:row r="16" ht="22" customHeight="1">
      <x:c r="A16" s="2" t="str">
        <x:v>收缩0.25</x:v>
      </x:c>
      <x:c r="B16" s="2" t="str">
        <x:v>全像素</x:v>
      </x:c>
      <x:c r="C16" s="2" t="n">
        <x:v>15</x:v>
      </x:c>
      <x:c r="D16" s="10" t="n">
        <x:v>0.00017586216736002435</x:v>
      </x:c>
      <x:c r="E16" s="10" t="n">
        <x:v>-0.0009841063463212972</x:v>
      </x:c>
      <x:c r="F16" s="10" t="n">
        <x:v>0.0010737489491330484</x:v>
      </x:c>
      <x:c r="G16" s="11" t="n">
        <x:v>0.77838134765625</x:v>
      </x:c>
      <x:c r="H16" s="2"/>
      <x:c r="I16" s="2"/>
      <x:c r="J16" s="2"/>
    </x:row>
    <x:row r="17" ht="22" customHeight="1">
      <x:c r="A17" s="2" t="str">
        <x:v>收缩0.25</x:v>
      </x:c>
      <x:c r="B17" s="2" t="str">
        <x:v>异常像素</x:v>
      </x:c>
      <x:c r="C17" s="2" t="n">
        <x:v>15</x:v>
      </x:c>
      <x:c r="D17" s="10" t="n">
        <x:v>0.0003107618476177104</x:v>
      </x:c>
      <x:c r="E17" s="10" t="n">
        <x:v>-0.0010160759123282895</x:v>
      </x:c>
      <x:c r="F17" s="10" t="n">
        <x:v>0.001341297305847862</x:v>
      </x:c>
      <x:c r="G17" s="11" t="n">
        <x:v>0.658447265625</x:v>
      </x:c>
      <x:c r="H17" s="2"/>
      <x:c r="I17" s="2"/>
      <x:c r="J17" s="2"/>
    </x:row>
    <x:row r="18" ht="22" customHeight="1">
      <x:c r="A18" s="2" t="str">
        <x:v>门控加收缩</x:v>
      </x:c>
      <x:c r="B18" s="2" t="str">
        <x:v>全像素</x:v>
      </x:c>
      <x:c r="C18" s="2" t="n">
        <x:v>15</x:v>
      </x:c>
      <x:c r="D18" s="10" t="n">
        <x:v>0.0003882611530277662</x:v>
      </x:c>
      <x:c r="E18" s="10" t="n">
        <x:v>0.000025158361484941022</x:v>
      </x:c>
      <x:c r="F18" s="10" t="n">
        <x:v>0.0007901830595870864</x:v>
      </x:c>
      <x:c r="G18" s="11" t="n">
        <x:v>0.0745849609375</x:v>
      </x:c>
      <x:c r="H18" s="2"/>
      <x:c r="I18" s="2"/>
      <x:c r="J18" s="2"/>
    </x:row>
    <x:row r="19" ht="22" customHeight="1">
      <x:c r="A19" s="2" t="str">
        <x:v>门控加收缩</x:v>
      </x:c>
      <x:c r="B19" s="2" t="str">
        <x:v>异常像素</x:v>
      </x:c>
      <x:c r="C19" s="2" t="n">
        <x:v>15</x:v>
      </x:c>
      <x:c r="D19" s="10" t="n">
        <x:v>0.0005013182565502664</x:v>
      </x:c>
      <x:c r="E19" s="10" t="n">
        <x:v>0.00008328001788340212</x:v>
      </x:c>
      <x:c r="F19" s="10" t="n">
        <x:v>0.0009563025456159533</x:v>
      </x:c>
      <x:c r="G19" s="11" t="n">
        <x:v>0.0516357421875</x:v>
      </x:c>
      <x:c r="H19" s="2"/>
      <x:c r="I19" s="2"/>
      <x:c r="J19" s="2"/>
    </x:row>
    <x:row r="20" ht="22" customHeight="1">
      <x:c r="A20" s="2" t="str">
        <x:v>像素敏感性</x:v>
      </x:c>
      <x:c r="B20" s="2" t="str">
        <x:v>全像素</x:v>
      </x:c>
      <x:c r="C20" s="2" t="n">
        <x:v>15</x:v>
      </x:c>
      <x:c r="D20" s="10" t="n">
        <x:v>-0.0023079512850658532</x:v>
      </x:c>
      <x:c r="E20" s="10" t="n">
        <x:v>-0.009879132000859726</x:v>
      </x:c>
      <x:c r="F20" s="10" t="n">
        <x:v>0.002412144478989884</x:v>
      </x:c>
      <x:c r="G20" s="11" t="n">
        <x:v>0.86614990234375</x:v>
      </x:c>
      <x:c r="H20" s="2"/>
      <x:c r="I20" s="2"/>
      <x:c r="J20" s="2"/>
    </x:row>
    <x:row r="21" ht="22" customHeight="1">
      <x:c r="A21" s="2" t="str">
        <x:v>像素敏感性</x:v>
      </x:c>
      <x:c r="B21" s="2" t="str">
        <x:v>异常像素</x:v>
      </x:c>
      <x:c r="C21" s="2" t="n">
        <x:v>15</x:v>
      </x:c>
      <x:c r="D21" s="10" t="n">
        <x:v>-0.001736369076598641</x:v>
      </x:c>
      <x:c r="E21" s="10" t="n">
        <x:v>-0.009516566167409934</x:v>
      </x:c>
      <x:c r="F21" s="10" t="n">
        <x:v>0.003224662943437271</x:v>
      </x:c>
      <x:c r="G21" s="11" t="n">
        <x:v>0.93670654296875</x:v>
      </x:c>
      <x:c r="H21" s="2"/>
      <x:c r="I21" s="2"/>
      <x:c r="J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2" customHeight="1">
      <x:c r="A23" s="2" t="str">
        <x:v>两种检验口径不同，区间与p值不必完全一致；先前门限探索未计入，不作确认性显著提升结论。</x:v>
      </x:c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2" customHeight="1">
      <x:c r="A25" s="2" t="str">
        <x:v>本次补跑（统一80%建库、20%校准，seed 0–4）</x:v>
      </x:c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34" customHeight="1">
      <x:c r="A26" s="8" t="str">
        <x:v>类别</x:v>
      </x:c>
      <x:c r="B26" s="8" t="str">
        <x:v>方法</x:v>
      </x:c>
      <x:c r="C26" s="8" t="str">
        <x:v>图像均值</x:v>
      </x:c>
      <x:c r="D26" s="8" t="str">
        <x:v>图像标准差</x:v>
      </x:c>
      <x:c r="E26" s="8" t="str">
        <x:v>全像素均值</x:v>
      </x:c>
      <x:c r="F26" s="8" t="str">
        <x:v>全像素标准差</x:v>
      </x:c>
      <x:c r="G26" s="8" t="str">
        <x:v>异常像素均值</x:v>
      </x:c>
      <x:c r="H26" s="8" t="str">
        <x:v>异常像素标准差</x:v>
      </x:c>
      <x:c r="I26" s="8" t="str">
        <x:v>全像素Δ固定</x:v>
      </x:c>
      <x:c r="J26" s="8" t="str">
        <x:v>异常像素Δ固定</x:v>
      </x:c>
    </x:row>
    <x:row r="27" ht="22" customHeight="1">
      <x:c r="A27" s="2" t="str">
        <x:v>bottle</x:v>
      </x:c>
      <x:c r="B27" s="2" t="str">
        <x:v>原始单库</x:v>
      </x:c>
      <x:c r="C27" s="9" t="n">
        <x:f>AVERAGEIFS('本次记录'!D$5:D$79,'本次记录'!$A$5:$A$79,$A27,'本次记录'!$C$5:$C$79,$B27)</x:f>
        <x:v>1</x:v>
      </x:c>
      <x:c r="D27" s="9" t="n">
        <x:f>_xlfn.STDEV.S('本次记录'!D5,'本次记录'!D10,'本次记录'!D15,'本次记录'!D20,'本次记录'!D25)</x:f>
        <x:v>0</x:v>
      </x:c>
      <x:c r="E27" s="9" t="n">
        <x:f>AVERAGEIFS('本次记录'!E$5:E$79,'本次记录'!$A$5:$A$79,$A27,'本次记录'!$C$5:$C$79,$B27)</x:f>
        <x:v>0.9842061384500953</x:v>
      </x:c>
      <x:c r="F27" s="9" t="n">
        <x:f>_xlfn.STDEV.S('本次记录'!E5,'本次记录'!E10,'本次记录'!E15,'本次记录'!E20,'本次记录'!E25)</x:f>
        <x:v>0.00009855045326709577</x:v>
      </x:c>
      <x:c r="G27" s="9" t="n">
        <x:f>AVERAGEIFS('本次记录'!F$5:F$79,'本次记录'!$A$5:$A$79,$A27,'本次记录'!$C$5:$C$79,$B27)</x:f>
        <x:v>0.9787364107111642</x:v>
      </x:c>
      <x:c r="H27" s="9" t="n">
        <x:f>_xlfn.STDEV.S('本次记录'!F5,'本次记录'!F10,'本次记录'!F15,'本次记录'!F20,'本次记录'!F25)</x:f>
        <x:v>0.00013178514725586046</x:v>
      </x:c>
      <x:c r="I27" s="10" t="n">
        <x:f>AVERAGEIFS('本次记录'!H$5:H$79,'本次记录'!$A$5:$A$79,$A27,'本次记录'!$C$5:$C$79,$B27)</x:f>
        <x:v>0.002588715368860406</x:v>
      </x:c>
      <x:c r="J27" s="10" t="n">
        <x:f>AVERAGEIFS('本次记录'!I$5:I$79,'本次记录'!$A$5:$A$79,$A27,'本次记录'!$C$5:$C$79,$B27)</x:f>
        <x:v>0.003533862903018714</x:v>
      </x:c>
    </x:row>
    <x:row r="28" ht="22" customHeight="1">
      <x:c r="A28" s="2" t="str">
        <x:v>bottle</x:v>
      </x:c>
      <x:c r="B28" s="2" t="str">
        <x:v>双分支固定</x:v>
      </x:c>
      <x:c r="C28" s="9" t="n">
        <x:f>AVERAGEIFS('本次记录'!D$5:D$79,'本次记录'!$A$5:$A$79,$A28,'本次记录'!$C$5:$C$79,$B28)</x:f>
        <x:v>1</x:v>
      </x:c>
      <x:c r="D28" s="9" t="n">
        <x:f>_xlfn.STDEV.S('本次记录'!D6,'本次记录'!D11,'本次记录'!D16,'本次记录'!D21,'本次记录'!D26)</x:f>
        <x:v>0</x:v>
      </x:c>
      <x:c r="E28" s="9" t="n">
        <x:f>AVERAGEIFS('本次记录'!E$5:E$79,'本次记录'!$A$5:$A$79,$A28,'本次记录'!$C$5:$C$79,$B28)</x:f>
        <x:v>0.9816174230812349</x:v>
      </x:c>
      <x:c r="F28" s="9" t="n">
        <x:f>_xlfn.STDEV.S('本次记录'!E6,'本次记录'!E11,'本次记录'!E16,'本次记录'!E21,'本次记录'!E26)</x:f>
        <x:v>0.00011701570126018869</x:v>
      </x:c>
      <x:c r="G28" s="9" t="n">
        <x:f>AVERAGEIFS('本次记录'!F$5:F$79,'本次记录'!$A$5:$A$79,$A28,'本次记录'!$C$5:$C$79,$B28)</x:f>
        <x:v>0.9752025478081455</x:v>
      </x:c>
      <x:c r="H28" s="9" t="n">
        <x:f>_xlfn.STDEV.S('本次记录'!F6,'本次记录'!F11,'本次记录'!F16,'本次记录'!F21,'本次记录'!F26)</x:f>
        <x:v>0.0001574722566981079</x:v>
      </x:c>
      <x:c r="I28" s="10" t="n">
        <x:f>AVERAGEIFS('本次记录'!H$5:H$79,'本次记录'!$A$5:$A$79,$A28,'本次记录'!$C$5:$C$79,$B28)</x:f>
        <x:v>0</x:v>
      </x:c>
      <x:c r="J28" s="10" t="n">
        <x:f>AVERAGEIFS('本次记录'!I$5:I$79,'本次记录'!$A$5:$A$79,$A28,'本次记录'!$C$5:$C$79,$B28)</x:f>
        <x:v>0</x:v>
      </x:c>
    </x:row>
    <x:row r="29" ht="22" customHeight="1">
      <x:c r="A29" s="2" t="str">
        <x:v>bottle</x:v>
      </x:c>
      <x:c r="B29" s="2" t="str">
        <x:v>像素敏感性</x:v>
      </x:c>
      <x:c r="C29" s="9" t="n">
        <x:f>AVERAGEIFS('本次记录'!D$5:D$79,'本次记录'!$A$5:$A$79,$A29,'本次记录'!$C$5:$C$79,$B29)</x:f>
        <x:v>1</x:v>
      </x:c>
      <x:c r="D29" s="9" t="n">
        <x:f>_xlfn.STDEV.S('本次记录'!D8,'本次记录'!D13,'本次记录'!D18,'本次记录'!D23,'本次记录'!D28)</x:f>
        <x:v>0</x:v>
      </x:c>
      <x:c r="E29" s="9" t="n">
        <x:f>AVERAGEIFS('本次记录'!E$5:E$79,'本次记录'!$A$5:$A$79,$A29,'本次记录'!$C$5:$C$79,$B29)</x:f>
        <x:v>0.9829560478284236</x:v>
      </x:c>
      <x:c r="F29" s="9" t="n">
        <x:f>_xlfn.STDEV.S('本次记录'!E8,'本次记录'!E13,'本次记录'!E18,'本次记录'!E23,'本次记录'!E28)</x:f>
        <x:v>0.0002658366687719798</x:v>
      </x:c>
      <x:c r="G29" s="9" t="n">
        <x:f>AVERAGEIFS('本次记录'!F$5:F$79,'本次记录'!$A$5:$A$79,$A29,'本次记录'!$C$5:$C$79,$B29)</x:f>
        <x:v>0.9770551061288296</x:v>
      </x:c>
      <x:c r="H29" s="9" t="n">
        <x:f>_xlfn.STDEV.S('本次记录'!F8,'本次记录'!F13,'本次记录'!F18,'本次记录'!F23,'本次记录'!F28)</x:f>
        <x:v>0.0003609481148619263</x:v>
      </x:c>
      <x:c r="I29" s="10" t="n">
        <x:f>AVERAGEIFS('本次记录'!H$5:H$79,'本次记录'!$A$5:$A$79,$A29,'本次记录'!$C$5:$C$79,$B29)</x:f>
        <x:v>0.0013386247471885327</x:v>
      </x:c>
      <x:c r="J29" s="10" t="n">
        <x:f>AVERAGEIFS('本次记录'!I$5:I$79,'本次记录'!$A$5:$A$79,$A29,'本次记录'!$C$5:$C$79,$B29)</x:f>
        <x:v>0.001852558320684028</x:v>
      </x:c>
    </x:row>
    <x:row r="30" ht="22" customHeight="1">
      <x:c r="A30" s="2" t="str">
        <x:v>bottle</x:v>
      </x:c>
      <x:c r="B30" s="2" t="str">
        <x:v>收缩0.25</x:v>
      </x:c>
      <x:c r="C30" s="9" t="n">
        <x:f>AVERAGEIFS('本次记录'!D$5:D$79,'本次记录'!$A$5:$A$79,$A30,'本次记录'!$C$5:$C$79,$B30)</x:f>
        <x:v>1</x:v>
      </x:c>
      <x:c r="D30" s="9" t="n">
        <x:f>_xlfn.STDEV.S('本次记录'!D9,'本次记录'!D14,'本次记录'!D19,'本次记录'!D24,'本次记录'!D29)</x:f>
        <x:v>0</x:v>
      </x:c>
      <x:c r="E30" s="9" t="n">
        <x:f>AVERAGEIFS('本次记录'!E$5:E$79,'本次记录'!$A$5:$A$79,$A30,'本次记录'!$C$5:$C$79,$B30)</x:f>
        <x:v>0.9820794642549299</x:v>
      </x:c>
      <x:c r="F30" s="9" t="n">
        <x:f>_xlfn.STDEV.S('本次记录'!E9,'本次记录'!E14,'本次记录'!E19,'本次记录'!E24,'本次记录'!E29)</x:f>
        <x:v>0.0001551212814619591</x:v>
      </x:c>
      <x:c r="G30" s="9" t="n">
        <x:f>AVERAGEIFS('本次记录'!F$5:F$79,'本次记录'!$A$5:$A$79,$A30,'本次记录'!$C$5:$C$79,$B30)</x:f>
        <x:v>0.9758324258554663</x:v>
      </x:c>
      <x:c r="H30" s="9" t="n">
        <x:f>_xlfn.STDEV.S('本次记录'!F9,'本次记录'!F14,'本次记录'!F19,'本次记录'!F24,'本次记录'!F29)</x:f>
        <x:v>0.00021034418383081798</x:v>
      </x:c>
      <x:c r="I30" s="10" t="n">
        <x:f>AVERAGEIFS('本次记录'!H$5:H$79,'本次记录'!$A$5:$A$79,$A30,'本次记录'!$C$5:$C$79,$B30)</x:f>
        <x:v>0.0004620411736947938</x:v>
      </x:c>
      <x:c r="J30" s="10" t="n">
        <x:f>AVERAGEIFS('本次记录'!I$5:I$79,'本次记录'!$A$5:$A$79,$A30,'本次记录'!$C$5:$C$79,$B30)</x:f>
        <x:v>0.0006298780473207088</x:v>
      </x:c>
    </x:row>
    <x:row r="31" ht="22" customHeight="1">
      <x:c r="A31" s="2" t="str">
        <x:v>bottle</x:v>
      </x:c>
      <x:c r="B31" s="2" t="str">
        <x:v>门控加收缩</x:v>
      </x:c>
      <x:c r="C31" s="9" t="n">
        <x:f>AVERAGEIFS('本次记录'!D$5:D$79,'本次记录'!$A$5:$A$79,$A31,'本次记录'!$C$5:$C$79,$B31)</x:f>
        <x:v>1</x:v>
      </x:c>
      <x:c r="D31" s="9" t="n">
        <x:f>_xlfn.STDEV.S('本次记录'!D7,'本次记录'!D12,'本次记录'!D17,'本次记录'!D22,'本次记录'!D27)</x:f>
        <x:v>0</x:v>
      </x:c>
      <x:c r="E31" s="9" t="n">
        <x:f>AVERAGEIFS('本次记录'!E$5:E$79,'本次记录'!$A$5:$A$79,$A31,'本次记录'!$C$5:$C$79,$B31)</x:f>
        <x:v>0.9820794642549299</x:v>
      </x:c>
      <x:c r="F31" s="9" t="n">
        <x:f>_xlfn.STDEV.S('本次记录'!E7,'本次记录'!E12,'本次记录'!E17,'本次记录'!E22,'本次记录'!E27)</x:f>
        <x:v>0.0001551212814619591</x:v>
      </x:c>
      <x:c r="G31" s="9" t="n">
        <x:f>AVERAGEIFS('本次记录'!F$5:F$79,'本次记录'!$A$5:$A$79,$A31,'本次记录'!$C$5:$C$79,$B31)</x:f>
        <x:v>0.9758324258554663</x:v>
      </x:c>
      <x:c r="H31" s="9" t="n">
        <x:f>_xlfn.STDEV.S('本次记录'!F7,'本次记录'!F12,'本次记录'!F17,'本次记录'!F22,'本次记录'!F27)</x:f>
        <x:v>0.00021034418383081798</x:v>
      </x:c>
      <x:c r="I31" s="10" t="n">
        <x:f>AVERAGEIFS('本次记录'!H$5:H$79,'本次记录'!$A$5:$A$79,$A31,'本次记录'!$C$5:$C$79,$B31)</x:f>
        <x:v>0.0004620411736947938</x:v>
      </x:c>
      <x:c r="J31" s="10" t="n">
        <x:f>AVERAGEIFS('本次记录'!I$5:I$79,'本次记录'!$A$5:$A$79,$A31,'本次记录'!$C$5:$C$79,$B31)</x:f>
        <x:v>0.0006298780473207088</x:v>
      </x:c>
    </x:row>
    <x:row r="32" ht="22" customHeight="1">
      <x:c r="A32" s="2" t="str">
        <x:v>pill</x:v>
      </x:c>
      <x:c r="B32" s="2" t="str">
        <x:v>原始单库</x:v>
      </x:c>
      <x:c r="C32" s="9" t="n">
        <x:f>AVERAGEIFS('本次记录'!D$5:D$79,'本次记录'!$A$5:$A$79,$A32,'本次记录'!$C$5:$C$79,$B32)</x:f>
        <x:v>0.9723404255319148</x:v>
      </x:c>
      <x:c r="D32" s="9" t="n">
        <x:f>_xlfn.STDEV.S('本次记录'!D30,'本次记录'!D35,'本次记录'!D40,'本次记录'!D45,'本次记录'!D50)</x:f>
        <x:v>0.0040210308263045735</x:v>
      </x:c>
      <x:c r="E32" s="9" t="n">
        <x:f>AVERAGEIFS('本次记录'!E$5:E$79,'本次记录'!$A$5:$A$79,$A32,'本次记录'!$C$5:$C$79,$B32)</x:f>
        <x:v>0.975066314410429</x:v>
      </x:c>
      <x:c r="F32" s="9" t="n">
        <x:f>_xlfn.STDEV.S('本次记录'!E30,'本次记录'!E35,'本次记录'!E40,'本次记录'!E45,'本次记录'!E50)</x:f>
        <x:v>0.001176995879124555</x:v>
      </x:c>
      <x:c r="G32" s="9" t="n">
        <x:f>AVERAGEIFS('本次记录'!F$5:F$79,'本次记录'!$A$5:$A$79,$A32,'本次记录'!$C$5:$C$79,$B32)</x:f>
        <x:v>0.9732257834728999</x:v>
      </x:c>
      <x:c r="H32" s="9" t="n">
        <x:f>_xlfn.STDEV.S('本次记录'!F30,'本次记录'!F35,'本次记录'!F40,'本次记录'!F45,'本次记录'!F50)</x:f>
        <x:v>0.001176963330475831</x:v>
      </x:c>
      <x:c r="I32" s="10" t="n">
        <x:f>AVERAGEIFS('本次记录'!H$5:H$79,'本次记录'!$A$5:$A$79,$A32,'本次记录'!$C$5:$C$79,$B32)</x:f>
        <x:v>-0.002486405970185701</x:v>
      </x:c>
      <x:c r="J32" s="10" t="n">
        <x:f>AVERAGEIFS('本次记录'!I$5:I$79,'本次记录'!$A$5:$A$79,$A32,'本次记录'!$C$5:$C$79,$B32)</x:f>
        <x:v>-0.0025015001244949485</x:v>
      </x:c>
    </x:row>
    <x:row r="33" ht="22" customHeight="1">
      <x:c r="A33" s="2" t="str">
        <x:v>pill</x:v>
      </x:c>
      <x:c r="B33" s="2" t="str">
        <x:v>双分支固定</x:v>
      </x:c>
      <x:c r="C33" s="9" t="n">
        <x:f>AVERAGEIFS('本次记录'!D$5:D$79,'本次记录'!$A$5:$A$79,$A33,'本次记录'!$C$5:$C$79,$B33)</x:f>
        <x:v>0.9699399890889252</x:v>
      </x:c>
      <x:c r="D33" s="9" t="n">
        <x:f>_xlfn.STDEV.S('本次记录'!D31,'本次记录'!D36,'本次记录'!D41,'本次记录'!D46,'本次记录'!D51)</x:f>
        <x:v>0.005173420245268331</x:v>
      </x:c>
      <x:c r="E33" s="9" t="n">
        <x:f>AVERAGEIFS('本次记录'!E$5:E$79,'本次记录'!$A$5:$A$79,$A33,'本次记录'!$C$5:$C$79,$B33)</x:f>
        <x:v>0.9775527203806146</x:v>
      </x:c>
      <x:c r="F33" s="9" t="n">
        <x:f>_xlfn.STDEV.S('本次记录'!E31,'本次记录'!E36,'本次记录'!E41,'本次记录'!E46,'本次记录'!E51)</x:f>
        <x:v>0.0015640754208589808</x:v>
      </x:c>
      <x:c r="G33" s="9" t="n">
        <x:f>AVERAGEIFS('本次记录'!F$5:F$79,'本次记录'!$A$5:$A$79,$A33,'本次记录'!$C$5:$C$79,$B33)</x:f>
        <x:v>0.9757272835973948</x:v>
      </x:c>
      <x:c r="H33" s="9" t="n">
        <x:f>_xlfn.STDEV.S('本次记录'!F31,'本次记录'!F36,'本次记录'!F41,'本次记录'!F46,'本次记录'!F51)</x:f>
        <x:v>0.0016020777406300837</x:v>
      </x:c>
      <x:c r="I33" s="10" t="n">
        <x:f>AVERAGEIFS('本次记录'!H$5:H$79,'本次记录'!$A$5:$A$79,$A33,'本次记录'!$C$5:$C$79,$B33)</x:f>
        <x:v>0</x:v>
      </x:c>
      <x:c r="J33" s="10" t="n">
        <x:f>AVERAGEIFS('本次记录'!I$5:I$79,'本次记录'!$A$5:$A$79,$A33,'本次记录'!$C$5:$C$79,$B33)</x:f>
        <x:v>0</x:v>
      </x:c>
    </x:row>
    <x:row r="34" ht="22" customHeight="1">
      <x:c r="A34" s="2" t="str">
        <x:v>pill</x:v>
      </x:c>
      <x:c r="B34" s="2" t="str">
        <x:v>像素敏感性</x:v>
      </x:c>
      <x:c r="C34" s="9" t="n">
        <x:f>AVERAGEIFS('本次记录'!D$5:D$79,'本次记录'!$A$5:$A$79,$A34,'本次记录'!$C$5:$C$79,$B34)</x:f>
        <x:v>0.9699399890889252</x:v>
      </x:c>
      <x:c r="D34" s="9" t="n">
        <x:f>_xlfn.STDEV.S('本次记录'!D33,'本次记录'!D38,'本次记录'!D43,'本次记录'!D48,'本次记录'!D53)</x:f>
        <x:v>0.005173420245268331</x:v>
      </x:c>
      <x:c r="E34" s="9" t="n">
        <x:f>AVERAGEIFS('本次记录'!E$5:E$79,'本次记录'!$A$5:$A$79,$A34,'本次记录'!$C$5:$C$79,$B34)</x:f>
        <x:v>0.97478434595446</x:v>
      </x:c>
      <x:c r="F34" s="9" t="n">
        <x:f>_xlfn.STDEV.S('本次记录'!E33,'本次记录'!E38,'本次记录'!E43,'本次记录'!E48,'本次记录'!E53)</x:f>
        <x:v>0.0012376755830034206</x:v>
      </x:c>
      <x:c r="G34" s="9" t="n">
        <x:f>AVERAGEIFS('本次记录'!F$5:F$79,'本次记录'!$A$5:$A$79,$A34,'本次记录'!$C$5:$C$79,$B34)</x:f>
        <x:v>0.9729142150167969</x:v>
      </x:c>
      <x:c r="H34" s="9" t="n">
        <x:f>_xlfn.STDEV.S('本次记录'!F33,'本次记录'!F38,'本次记录'!F43,'本次记录'!F48,'本次记录'!F53)</x:f>
        <x:v>0.0012324002288528</x:v>
      </x:c>
      <x:c r="I34" s="10" t="n">
        <x:f>AVERAGEIFS('本次记录'!H$5:H$79,'本次记录'!$A$5:$A$79,$A34,'本次记录'!$C$5:$C$79,$B34)</x:f>
        <x:v>-0.0027683744261547847</x:v>
      </x:c>
      <x:c r="J34" s="10" t="n">
        <x:f>AVERAGEIFS('本次记录'!I$5:I$79,'本次记录'!$A$5:$A$79,$A34,'本次记录'!$C$5:$C$79,$B34)</x:f>
        <x:v>-0.0028130685805979995</x:v>
      </x:c>
    </x:row>
    <x:row r="35" ht="22" customHeight="1">
      <x:c r="A35" s="2" t="str">
        <x:v>pill</x:v>
      </x:c>
      <x:c r="B35" s="2" t="str">
        <x:v>收缩0.25</x:v>
      </x:c>
      <x:c r="C35" s="9" t="n">
        <x:f>AVERAGEIFS('本次记录'!D$5:D$79,'本次记录'!$A$5:$A$79,$A35,'本次记录'!$C$5:$C$79,$B35)</x:f>
        <x:v>0.9699399890889252</x:v>
      </x:c>
      <x:c r="D35" s="9" t="n">
        <x:f>_xlfn.STDEV.S('本次记录'!D34,'本次记录'!D39,'本次记录'!D44,'本次记录'!D49,'本次记录'!D54)</x:f>
        <x:v>0.005173420245268331</x:v>
      </x:c>
      <x:c r="E35" s="9" t="n">
        <x:f>AVERAGEIFS('本次记录'!E$5:E$79,'本次记录'!$A$5:$A$79,$A35,'本次记录'!$C$5:$C$79,$B35)</x:f>
        <x:v>0.9771145010226782</x:v>
      </x:c>
      <x:c r="F35" s="9" t="n">
        <x:f>_xlfn.STDEV.S('本次记录'!E34,'本次记录'!E39,'本次记录'!E44,'本次记录'!E49,'本次记录'!E54)</x:f>
        <x:v>0.0014072593218526616</x:v>
      </x:c>
      <x:c r="G35" s="9" t="n">
        <x:f>AVERAGEIFS('本次记录'!F$5:F$79,'本次记录'!$A$5:$A$79,$A35,'本次记录'!$C$5:$C$79,$B35)</x:f>
        <x:v>0.9752880504225067</x:v>
      </x:c>
      <x:c r="H35" s="9" t="n">
        <x:f>_xlfn.STDEV.S('本次记录'!F34,'本次记录'!F39,'本次记录'!F44,'本次记录'!F49,'本次记录'!F54)</x:f>
        <x:v>0.0014370590311017797</x:v>
      </x:c>
      <x:c r="I35" s="10" t="n">
        <x:f>AVERAGEIFS('本次记录'!H$5:H$79,'本次记录'!$A$5:$A$79,$A35,'本次记录'!$C$5:$C$79,$B35)</x:f>
        <x:v>-0.0004382193579365312</x:v>
      </x:c>
      <x:c r="J35" s="10" t="n">
        <x:f>AVERAGEIFS('本次记录'!I$5:I$79,'本次记录'!$A$5:$A$79,$A35,'本次记录'!$C$5:$C$79,$B35)</x:f>
        <x:v>-0.00043923317488820947</x:v>
      </x:c>
    </x:row>
    <x:row r="36" ht="22" customHeight="1">
      <x:c r="A36" s="2" t="str">
        <x:v>pill</x:v>
      </x:c>
      <x:c r="B36" s="2" t="str">
        <x:v>门控加收缩</x:v>
      </x:c>
      <x:c r="C36" s="9" t="n">
        <x:f>AVERAGEIFS('本次记录'!D$5:D$79,'本次记录'!$A$5:$A$79,$A36,'本次记录'!$C$5:$C$79,$B36)</x:f>
        <x:v>0.9699399890889252</x:v>
      </x:c>
      <x:c r="D36" s="9" t="n">
        <x:f>_xlfn.STDEV.S('本次记录'!D32,'本次记录'!D37,'本次记录'!D42,'本次记录'!D47,'本次记录'!D52)</x:f>
        <x:v>0.005173420245268331</x:v>
      </x:c>
      <x:c r="E36" s="9" t="n">
        <x:f>AVERAGEIFS('本次记录'!E$5:E$79,'本次记录'!$A$5:$A$79,$A36,'本次记录'!$C$5:$C$79,$B36)</x:f>
        <x:v>0.9772098722975782</x:v>
      </x:c>
      <x:c r="F36" s="9" t="n">
        <x:f>_xlfn.STDEV.S('本次记录'!E32,'本次记录'!E37,'本次记录'!E42,'本次记录'!E47,'本次记录'!E52)</x:f>
        <x:v>0.0014692607342837872</x:v>
      </x:c>
      <x:c r="G36" s="9" t="n">
        <x:f>AVERAGEIFS('本次记录'!F$5:F$79,'本次记录'!$A$5:$A$79,$A36,'本次记录'!$C$5:$C$79,$B36)</x:f>
        <x:v>0.9753841780022583</x:v>
      </x:c>
      <x:c r="H36" s="9" t="n">
        <x:f>_xlfn.STDEV.S('本次记录'!F32,'本次记录'!F37,'本次记录'!F42,'本次记录'!F47,'本次记录'!F52)</x:f>
        <x:v>0.0014974736144585056</x:v>
      </x:c>
      <x:c r="I36" s="10" t="n">
        <x:f>AVERAGEIFS('本次记录'!H$5:H$79,'本次记录'!$A$5:$A$79,$A36,'本次记录'!$C$5:$C$79,$B36)</x:f>
        <x:v>-0.00034284808303655103</x:v>
      </x:c>
      <x:c r="J36" s="10" t="n">
        <x:f>AVERAGEIFS('本次记录'!I$5:I$79,'本次记录'!$A$5:$A$79,$A36,'本次记录'!$C$5:$C$79,$B36)</x:f>
        <x:v>-0.00034310559513650585</x:v>
      </x:c>
    </x:row>
    <x:row r="37" ht="22" customHeight="1">
      <x:c r="A37" s="2" t="str">
        <x:v>transistor</x:v>
      </x:c>
      <x:c r="B37" s="2" t="str">
        <x:v>原始单库</x:v>
      </x:c>
      <x:c r="C37" s="9" t="n">
        <x:f>AVERAGEIFS('本次记录'!D$5:D$79,'本次记录'!$A$5:$A$79,$A37,'本次记录'!$C$5:$C$79,$B37)</x:f>
        <x:v>0.9985833333333332</x:v>
      </x:c>
      <x:c r="D37" s="9" t="n">
        <x:f>_xlfn.STDEV.S('本次记录'!D55,'本次记录'!D60,'本次记录'!D65,'本次记录'!D70,'本次记录'!D75)</x:f>
        <x:v>0.0011257713405088553</x:v>
      </x:c>
      <x:c r="E37" s="9" t="n">
        <x:f>AVERAGEIFS('本次记录'!E$5:E$79,'本次记录'!$A$5:$A$79,$A37,'本次记录'!$C$5:$C$79,$B37)</x:f>
        <x:v>0.9508136776553219</x:v>
      </x:c>
      <x:c r="F37" s="9" t="n">
        <x:f>_xlfn.STDEV.S('本次记录'!E55,'本次记录'!E60,'本次记录'!E65,'本次记录'!E70,'本次记录'!E75)</x:f>
        <x:v>0.004021706674842236</x:v>
      </x:c>
      <x:c r="G37" s="9" t="n">
        <x:f>AVERAGEIFS('本次记录'!F$5:F$79,'本次记录'!$A$5:$A$79,$A37,'本次记录'!$C$5:$C$79,$B37)</x:f>
        <x:v>0.9179986935571586</x:v>
      </x:c>
      <x:c r="H37" s="9" t="n">
        <x:f>_xlfn.STDEV.S('本次记录'!F55,'本次记录'!F60,'本次记录'!F65,'本次记录'!F70,'本次记录'!F75)</x:f>
        <x:v>0.004139922623828199</x:v>
      </x:c>
      <x:c r="I37" s="10" t="n">
        <x:f>AVERAGEIFS('本次记录'!H$5:H$79,'本次记录'!$A$5:$A$79,$A37,'本次记录'!$C$5:$C$79,$B37)</x:f>
        <x:v>-0.012363328821903118</x:v>
      </x:c>
      <x:c r="J37" s="10" t="n">
        <x:f>AVERAGEIFS('本次记录'!I$5:I$79,'本次记录'!$A$5:$A$79,$A37,'本次记录'!$C$5:$C$79,$B37)</x:f>
        <x:v>-0.012598767700911085</x:v>
      </x:c>
    </x:row>
    <x:row r="38" ht="22" customHeight="1">
      <x:c r="A38" s="2" t="str">
        <x:v>transistor</x:v>
      </x:c>
      <x:c r="B38" s="2" t="str">
        <x:v>双分支固定</x:v>
      </x:c>
      <x:c r="C38" s="9" t="n">
        <x:f>AVERAGEIFS('本次记录'!D$5:D$79,'本次记录'!$A$5:$A$79,$A38,'本次记录'!$C$5:$C$79,$B38)</x:f>
        <x:v>0.9734999999999999</x:v>
      </x:c>
      <x:c r="D38" s="9" t="n">
        <x:f>_xlfn.STDEV.S('本次记录'!D56,'本次记录'!D61,'本次记录'!D66,'本次记录'!D71,'本次记录'!D76)</x:f>
        <x:v>0.010759362847719642</x:v>
      </x:c>
      <x:c r="E38" s="9" t="n">
        <x:f>AVERAGEIFS('本次记录'!E$5:E$79,'本次记录'!$A$5:$A$79,$A38,'本次记录'!$C$5:$C$79,$B38)</x:f>
        <x:v>0.9631770064772249</x:v>
      </x:c>
      <x:c r="F38" s="9" t="n">
        <x:f>_xlfn.STDEV.S('本次记录'!E56,'本次记录'!E61,'本次记录'!E66,'本次记录'!E71,'本次记录'!E76)</x:f>
        <x:v>0.00524251437431148</x:v>
      </x:c>
      <x:c r="G38" s="9" t="n">
        <x:f>AVERAGEIFS('本次记录'!F$5:F$79,'本次记录'!$A$5:$A$79,$A38,'本次记录'!$C$5:$C$79,$B38)</x:f>
        <x:v>0.9305974612580696</x:v>
      </x:c>
      <x:c r="H38" s="9" t="n">
        <x:f>_xlfn.STDEV.S('本次记录'!F56,'本次记录'!F61,'本次记录'!F66,'本次记录'!F71,'本次记录'!F76)</x:f>
        <x:v>0.005037489964907955</x:v>
      </x:c>
      <x:c r="I38" s="10" t="n">
        <x:f>AVERAGEIFS('本次记录'!H$5:H$79,'本次记录'!$A$5:$A$79,$A38,'本次记录'!$C$5:$C$79,$B38)</x:f>
        <x:v>0</x:v>
      </x:c>
      <x:c r="J38" s="10" t="n">
        <x:f>AVERAGEIFS('本次记录'!I$5:I$79,'本次记录'!$A$5:$A$79,$A38,'本次记录'!$C$5:$C$79,$B38)</x:f>
        <x:v>0</x:v>
      </x:c>
    </x:row>
    <x:row r="39" ht="22" customHeight="1">
      <x:c r="A39" s="2" t="str">
        <x:v>transistor</x:v>
      </x:c>
      <x:c r="B39" s="2" t="str">
        <x:v>像素敏感性</x:v>
      </x:c>
      <x:c r="C39" s="9" t="n">
        <x:f>AVERAGEIFS('本次记录'!D$5:D$79,'本次记录'!$A$5:$A$79,$A39,'本次记录'!$C$5:$C$79,$B39)</x:f>
        <x:v>0.9734999999999999</x:v>
      </x:c>
      <x:c r="D39" s="9" t="n">
        <x:f>_xlfn.STDEV.S('本次记录'!D58,'本次记录'!D63,'本次记录'!D68,'本次记录'!D73,'本次记录'!D78)</x:f>
        <x:v>0.010759362847719642</x:v>
      </x:c>
      <x:c r="E39" s="9" t="n">
        <x:f>AVERAGEIFS('本次记录'!E$5:E$79,'本次记录'!$A$5:$A$79,$A39,'本次记录'!$C$5:$C$79,$B39)</x:f>
        <x:v>0.9215644509881276</x:v>
      </x:c>
      <x:c r="F39" s="9" t="n">
        <x:f>_xlfn.STDEV.S('本次记录'!E58,'本次记录'!E63,'本次记录'!E68,'本次记录'!E73,'本次记录'!E78)</x:f>
        <x:v>0.01577691674991957</x:v>
      </x:c>
      <x:c r="G39" s="9" t="n">
        <x:f>AVERAGEIFS('本次记录'!F$5:F$79,'本次记录'!$A$5:$A$79,$A39,'本次记录'!$C$5:$C$79,$B39)</x:f>
        <x:v>0.887702521486802</x:v>
      </x:c>
      <x:c r="H39" s="9" t="n">
        <x:f>_xlfn.STDEV.S('本次记录'!F58,'本次记录'!F63,'本次记录'!F68,'本次记录'!F73,'本次记录'!F78)</x:f>
        <x:v>0.01574167881780415</x:v>
      </x:c>
      <x:c r="I39" s="10" t="n">
        <x:f>AVERAGEIFS('本次记录'!H$5:H$79,'本次记录'!$A$5:$A$79,$A39,'本次记录'!$C$5:$C$79,$B39)</x:f>
        <x:v>-0.04161255548909722</x:v>
      </x:c>
      <x:c r="J39" s="10" t="n">
        <x:f>AVERAGEIFS('本次记录'!I$5:I$79,'本次记录'!$A$5:$A$79,$A39,'本次记录'!$C$5:$C$79,$B39)</x:f>
        <x:v>-0.04289493977126766</x:v>
      </x:c>
    </x:row>
    <x:row r="40" ht="22" customHeight="1">
      <x:c r="A40" s="2" t="str">
        <x:v>transistor</x:v>
      </x:c>
      <x:c r="B40" s="2" t="str">
        <x:v>收缩0.25</x:v>
      </x:c>
      <x:c r="C40" s="9" t="n">
        <x:f>AVERAGEIFS('本次记录'!D$5:D$79,'本次记录'!$A$5:$A$79,$A40,'本次记录'!$C$5:$C$79,$B40)</x:f>
        <x:v>0.9734999999999999</x:v>
      </x:c>
      <x:c r="D40" s="9" t="n">
        <x:f>_xlfn.STDEV.S('本次记录'!D59,'本次记录'!D64,'本次记录'!D69,'本次记录'!D74,'本次记录'!D79)</x:f>
        <x:v>0.010759362847719642</x:v>
      </x:c>
      <x:c r="E40" s="9" t="n">
        <x:f>AVERAGEIFS('本次记录'!E$5:E$79,'本次记录'!$A$5:$A$79,$A40,'本次记录'!$C$5:$C$79,$B40)</x:f>
        <x:v>0.9575565715549033</x:v>
      </x:c>
      <x:c r="F40" s="9" t="n">
        <x:f>_xlfn.STDEV.S('本次记录'!E59,'本次记录'!E64,'本次记录'!E69,'本次记录'!E74,'本次记录'!E79)</x:f>
        <x:v>0.0057647035251390515</x:v>
      </x:c>
      <x:c r="G40" s="9" t="n">
        <x:f>AVERAGEIFS('本次记录'!F$5:F$79,'本次记录'!$A$5:$A$79,$A40,'本次记录'!$C$5:$C$79,$B40)</x:f>
        <x:v>0.9241660426240461</x:v>
      </x:c>
      <x:c r="H40" s="9" t="n">
        <x:f>_xlfn.STDEV.S('本次记录'!F59,'本次记录'!F64,'本次记录'!F69,'本次记录'!F74,'本次记录'!F79)</x:f>
        <x:v>0.005816575813280128</x:v>
      </x:c>
      <x:c r="I40" s="10" t="n">
        <x:f>AVERAGEIFS('本次记录'!H$5:H$79,'本次记录'!$A$5:$A$79,$A40,'本次记录'!$C$5:$C$79,$B40)</x:f>
        <x:v>-0.005620434922321604</x:v>
      </x:c>
      <x:c r="J40" s="10" t="n">
        <x:f>AVERAGEIFS('本次记录'!I$5:I$79,'本次记录'!$A$5:$A$79,$A40,'本次记录'!$C$5:$C$79,$B40)</x:f>
        <x:v>-0.006431418634023522</x:v>
      </x:c>
    </x:row>
    <x:row r="41" ht="22" customHeight="1">
      <x:c r="A41" s="2" t="str">
        <x:v>transistor</x:v>
      </x:c>
      <x:c r="B41" s="2" t="str">
        <x:v>门控加收缩</x:v>
      </x:c>
      <x:c r="C41" s="9" t="n">
        <x:f>AVERAGEIFS('本次记录'!D$5:D$79,'本次记录'!$A$5:$A$79,$A41,'本次记录'!$C$5:$C$79,$B41)</x:f>
        <x:v>0.9734999999999999</x:v>
      </x:c>
      <x:c r="D41" s="9" t="n">
        <x:f>_xlfn.STDEV.S('本次记录'!D57,'本次记录'!D62,'本次记录'!D67,'本次记录'!D72,'本次记录'!D77)</x:f>
        <x:v>0.010759362847719642</x:v>
      </x:c>
      <x:c r="E41" s="9" t="n">
        <x:f>AVERAGEIFS('本次记录'!E$5:E$79,'本次记录'!$A$5:$A$79,$A41,'本次记录'!$C$5:$C$79,$B41)</x:f>
        <x:v>0.9615577109115477</x:v>
      </x:c>
      <x:c r="F41" s="9" t="n">
        <x:f>_xlfn.STDEV.S('本次记录'!E57,'本次记录'!E62,'本次记录'!E67,'本次记录'!E72,'本次记录'!E77)</x:f>
        <x:v>0.00485047939515157</x:v>
      </x:c>
      <x:c r="G41" s="9" t="n">
        <x:f>AVERAGEIFS('本次记录'!F$5:F$79,'本次记录'!$A$5:$A$79,$A41,'本次记录'!$C$5:$C$79,$B41)</x:f>
        <x:v>0.9286998594269867</x:v>
      </x:c>
      <x:c r="H41" s="9" t="n">
        <x:f>_xlfn.STDEV.S('本次记录'!F57,'本次记录'!F62,'本次记录'!F67,'本次记录'!F72,'本次记录'!F77)</x:f>
        <x:v>0.004470566974374069</x:v>
      </x:c>
      <x:c r="I41" s="10" t="n">
        <x:f>AVERAGEIFS('本次记录'!H$5:H$79,'本次记录'!$A$5:$A$79,$A41,'本次记录'!$C$5:$C$79,$B41)</x:f>
        <x:v>-0.0016192955656772368</x:v>
      </x:c>
      <x:c r="J41" s="10" t="n">
        <x:f>AVERAGEIFS('本次记录'!I$5:I$79,'本次记录'!$A$5:$A$79,$A41,'本次记录'!$C$5:$C$79,$B41)</x:f>
        <x:v>-0.0018976018310829178</x:v>
      </x:c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2" customHeight="1">
      <x:c r="A44" s="2" t="str">
        <x:v>相同环境下的阶段成本（每类别5次均值）</x:v>
      </x:c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34" customHeight="1">
      <x:c r="A45" s="8" t="str">
        <x:v>类别</x:v>
      </x:c>
      <x:c r="B45" s="8" t="str">
        <x:v>运行结构</x:v>
      </x:c>
      <x:c r="C45" s="8" t="str">
        <x:v>Fit秒</x:v>
      </x:c>
      <x:c r="D45" s="8" t="str">
        <x:v>校准秒</x:v>
      </x:c>
      <x:c r="E45" s="8" t="str">
        <x:v>Predict秒</x:v>
      </x:c>
      <x:c r="F45" s="8" t="str">
        <x:v>三阶段总秒</x:v>
      </x:c>
      <x:c r="G45" s="8" t="str">
        <x:v>指标计算秒</x:v>
      </x:c>
      <x:c r="H45" s="8" t="str">
        <x:v>墙钟秒</x:v>
      </x:c>
      <x:c r="I45" s="2"/>
      <x:c r="J45" s="2"/>
    </x:row>
    <x:row r="46" ht="22" customHeight="1">
      <x:c r="A46" s="2" t="str">
        <x:v>bottle</x:v>
      </x:c>
      <x:c r="B46" s="2" t="str">
        <x:v>原始单库</x:v>
      </x:c>
      <x:c r="C46" s="12" t="n">
        <x:f>AVERAGEIFS('本次记录'!D$86:D$115,'本次记录'!$A$86:$A$115,$A46,'本次记录'!$C$86:$C$115,$B46)</x:f>
        <x:v>9.691969340003562</x:v>
      </x:c>
      <x:c r="D46" s="12" t="n">
        <x:f>AVERAGEIFS('本次记录'!E$86:E$115,'本次记录'!$A$86:$A$115,$A46,'本次记录'!$C$86:$C$115,$B46)</x:f>
        <x:v>0</x:v>
      </x:c>
      <x:c r="E46" s="12" t="n">
        <x:f>AVERAGEIFS('本次记录'!F$86:F$115,'本次记录'!$A$86:$A$115,$A46,'本次记录'!$C$86:$C$115,$B46)</x:f>
        <x:v>5.572314960008953</x:v>
      </x:c>
      <x:c r="F46" s="12" t="n">
        <x:f>AVERAGEIFS('本次记录'!G$86:G$115,'本次记录'!$A$86:$A$115,$A46,'本次记录'!$C$86:$C$115,$B46)</x:f>
        <x:v>15.264284300012514</x:v>
      </x:c>
      <x:c r="G46" s="12" t="n">
        <x:f>AVERAGEIFS('本次记录'!H$86:H$115,'本次记录'!$A$86:$A$115,$A46,'本次记录'!$C$86:$C$115,$B46)</x:f>
        <x:v>3.7227980999858117</x:v>
      </x:c>
      <x:c r="H46" s="12" t="n">
        <x:f>AVERAGEIFS('本次记录'!I$86:I$115,'本次记录'!$A$86:$A$115,$A46,'本次记录'!$C$86:$C$115,$B46)</x:f>
        <x:v>20.024450339993926</x:v>
      </x:c>
      <x:c r="I46" s="2"/>
      <x:c r="J46" s="2"/>
    </x:row>
    <x:row r="47" ht="22" customHeight="1">
      <x:c r="A47" s="2" t="str">
        <x:v>bottle</x:v>
      </x:c>
      <x:c r="B47" s="2" t="str">
        <x:v>双分支门控</x:v>
      </x:c>
      <x:c r="C47" s="12" t="n">
        <x:f>AVERAGEIFS('本次记录'!D$86:D$115,'本次记录'!$A$86:$A$115,$A47,'本次记录'!$C$86:$C$115,$B47)</x:f>
        <x:v>13.236702799994964</x:v>
      </x:c>
      <x:c r="D47" s="12" t="n">
        <x:f>AVERAGEIFS('本次记录'!E$86:E$115,'本次记录'!$A$86:$A$115,$A47,'本次记录'!$C$86:$C$115,$B47)</x:f>
        <x:v>7.352825679990929</x:v>
      </x:c>
      <x:c r="E47" s="12" t="n">
        <x:f>AVERAGEIFS('本次记录'!F$86:F$115,'本次记录'!$A$86:$A$115,$A47,'本次记录'!$C$86:$C$115,$B47)</x:f>
        <x:v>7.224488880007994</x:v>
      </x:c>
      <x:c r="F47" s="12" t="n">
        <x:f>AVERAGEIFS('本次记录'!G$86:G$115,'本次记录'!$A$86:$A$115,$A47,'本次记录'!$C$86:$C$115,$B47)</x:f>
        <x:v>27.814017359993887</x:v>
      </x:c>
      <x:c r="G47" s="12" t="n">
        <x:f>AVERAGEIFS('本次记录'!H$86:H$115,'本次记录'!$A$86:$A$115,$A47,'本次记录'!$C$86:$C$115,$B47)</x:f>
        <x:v>10.80662032001419</x:v>
      </x:c>
      <x:c r="H47" s="12" t="n">
        <x:f>AVERAGEIFS('本次记录'!I$86:I$115,'本次记录'!$A$86:$A$115,$A47,'本次记录'!$C$86:$C$115,$B47)</x:f>
        <x:v>40.30569293998415</x:v>
      </x:c>
      <x:c r="I47" s="2"/>
      <x:c r="J47" s="2"/>
    </x:row>
    <x:row r="48" ht="22" customHeight="1">
      <x:c r="A48" s="2" t="str">
        <x:v>pill</x:v>
      </x:c>
      <x:c r="B48" s="2" t="str">
        <x:v>原始单库</x:v>
      </x:c>
      <x:c r="C48" s="12" t="n">
        <x:f>AVERAGEIFS('本次记录'!D$86:D$115,'本次记录'!$A$86:$A$115,$A48,'本次记录'!$C$86:$C$115,$B48)</x:f>
        <x:v>12.760935100005009</x:v>
      </x:c>
      <x:c r="D48" s="12" t="n">
        <x:f>AVERAGEIFS('本次记录'!E$86:E$115,'本次记录'!$A$86:$A$115,$A48,'本次记录'!$C$86:$C$115,$B48)</x:f>
        <x:v>0</x:v>
      </x:c>
      <x:c r="E48" s="12" t="n">
        <x:f>AVERAGEIFS('本次记录'!F$86:F$115,'本次记录'!$A$86:$A$115,$A48,'本次记录'!$C$86:$C$115,$B48)</x:f>
        <x:v>10.677758200012613</x:v>
      </x:c>
      <x:c r="F48" s="12" t="n">
        <x:f>AVERAGEIFS('本次记录'!G$86:G$115,'本次记录'!$A$86:$A$115,$A48,'本次记录'!$C$86:$C$115,$B48)</x:f>
        <x:v>23.438693300017622</x:v>
      </x:c>
      <x:c r="G48" s="12" t="n">
        <x:f>AVERAGEIFS('本次记录'!H$86:H$115,'本次记录'!$A$86:$A$115,$A48,'本次记录'!$C$86:$C$115,$B48)</x:f>
        <x:v>8.454571299999952</x:v>
      </x:c>
      <x:c r="H48" s="12" t="n">
        <x:f>AVERAGEIFS('本次记录'!I$86:I$115,'本次记录'!$A$86:$A$115,$A48,'本次记录'!$C$86:$C$115,$B48)</x:f>
        <x:v>32.99676104002865</x:v>
      </x:c>
      <x:c r="I48" s="2"/>
      <x:c r="J48" s="2"/>
    </x:row>
    <x:row r="49" ht="22" customHeight="1">
      <x:c r="A49" s="2" t="str">
        <x:v>pill</x:v>
      </x:c>
      <x:c r="B49" s="2" t="str">
        <x:v>双分支门控</x:v>
      </x:c>
      <x:c r="C49" s="12" t="n">
        <x:f>AVERAGEIFS('本次记录'!D$86:D$115,'本次记录'!$A$86:$A$115,$A49,'本次记录'!$C$86:$C$115,$B49)</x:f>
        <x:v>16.60685175998369</x:v>
      </x:c>
      <x:c r="D49" s="12" t="n">
        <x:f>AVERAGEIFS('本次记录'!E$86:E$115,'本次记录'!$A$86:$A$115,$A49,'本次记录'!$C$86:$C$115,$B49)</x:f>
        <x:v>8.19057397999568</x:v>
      </x:c>
      <x:c r="E49" s="12" t="n">
        <x:f>AVERAGEIFS('本次记录'!F$86:F$115,'本次记录'!$A$86:$A$115,$A49,'本次记录'!$C$86:$C$115,$B49)</x:f>
        <x:v>14.332673420023639</x:v>
      </x:c>
      <x:c r="F49" s="12" t="n">
        <x:f>AVERAGEIFS('本次记录'!G$86:G$115,'本次记录'!$A$86:$A$115,$A49,'本次记录'!$C$86:$C$115,$B49)</x:f>
        <x:v>39.13009916000301</x:v>
      </x:c>
      <x:c r="G49" s="12" t="n">
        <x:f>AVERAGEIFS('本次记录'!H$86:H$115,'本次记录'!$A$86:$A$115,$A49,'本次记录'!$C$86:$C$115,$B49)</x:f>
        <x:v>23.582377860008272</x:v>
      </x:c>
      <x:c r="H49" s="12" t="n">
        <x:f>AVERAGEIFS('本次记录'!I$86:I$115,'本次记录'!$A$86:$A$115,$A49,'本次记录'!$C$86:$C$115,$B49)</x:f>
        <x:v>64.52256912001175</x:v>
      </x:c>
      <x:c r="I49" s="2"/>
      <x:c r="J49" s="2"/>
    </x:row>
    <x:row r="50" ht="22" customHeight="1">
      <x:c r="A50" s="2" t="str">
        <x:v>transistor</x:v>
      </x:c>
      <x:c r="B50" s="2" t="str">
        <x:v>原始单库</x:v>
      </x:c>
      <x:c r="C50" s="12" t="n">
        <x:f>AVERAGEIFS('本次记录'!D$86:D$115,'本次记录'!$A$86:$A$115,$A50,'本次记录'!$C$86:$C$115,$B50)</x:f>
        <x:v>12.316998520016204</x:v>
      </x:c>
      <x:c r="D50" s="12" t="n">
        <x:f>AVERAGEIFS('本次记录'!E$86:E$115,'本次记录'!$A$86:$A$115,$A50,'本次记录'!$C$86:$C$115,$B50)</x:f>
        <x:v>0</x:v>
      </x:c>
      <x:c r="E50" s="12" t="n">
        <x:f>AVERAGEIFS('本次记录'!F$86:F$115,'本次记录'!$A$86:$A$115,$A50,'本次记录'!$C$86:$C$115,$B50)</x:f>
        <x:v>7.2494852800038645</x:v>
      </x:c>
      <x:c r="F50" s="12" t="n">
        <x:f>AVERAGEIFS('本次记录'!G$86:G$115,'本次记录'!$A$86:$A$115,$A50,'本次记录'!$C$86:$C$115,$B50)</x:f>
        <x:v>19.56648380002007</x:v>
      </x:c>
      <x:c r="G50" s="12" t="n">
        <x:f>AVERAGEIFS('本次记录'!H$86:H$115,'本次记录'!$A$86:$A$115,$A50,'本次记录'!$C$86:$C$115,$B50)</x:f>
        <x:v>3.68805978000164</x:v>
      </x:c>
      <x:c r="H50" s="12" t="n">
        <x:f>AVERAGEIFS('本次记录'!I$86:I$115,'本次记录'!$A$86:$A$115,$A50,'本次记录'!$C$86:$C$115,$B50)</x:f>
        <x:v>24.307927240012212</x:v>
      </x:c>
      <x:c r="I50" s="2"/>
      <x:c r="J50" s="2"/>
    </x:row>
    <x:row r="51" ht="22" customHeight="1">
      <x:c r="A51" s="2" t="str">
        <x:v>transistor</x:v>
      </x:c>
      <x:c r="B51" s="2" t="str">
        <x:v>双分支门控</x:v>
      </x:c>
      <x:c r="C51" s="12" t="n">
        <x:f>AVERAGEIFS('本次记录'!D$86:D$115,'本次记录'!$A$86:$A$115,$A51,'本次记录'!$C$86:$C$115,$B51)</x:f>
        <x:v>17.80641025999794</x:v>
      </x:c>
      <x:c r="D51" s="12" t="n">
        <x:f>AVERAGEIFS('本次记录'!E$86:E$115,'本次记录'!$A$86:$A$115,$A51,'本次记录'!$C$86:$C$115,$B51)</x:f>
        <x:v>9.216529499995522</x:v>
      </x:c>
      <x:c r="E51" s="12" t="n">
        <x:f>AVERAGEIFS('本次记录'!F$86:F$115,'本次记录'!$A$86:$A$115,$A51,'本次记录'!$C$86:$C$115,$B51)</x:f>
        <x:v>11.233668019983451</x:v>
      </x:c>
      <x:c r="F51" s="12" t="n">
        <x:f>AVERAGEIFS('本次记录'!G$86:G$115,'本次记录'!$A$86:$A$115,$A51,'本次记录'!$C$86:$C$115,$B51)</x:f>
        <x:v>38.25660777997691</x:v>
      </x:c>
      <x:c r="G51" s="12" t="n">
        <x:f>AVERAGEIFS('本次记录'!H$86:H$115,'本次记录'!$A$86:$A$115,$A51,'本次记录'!$C$86:$C$115,$B51)</x:f>
        <x:v>10.735241020016838</x:v>
      </x:c>
      <x:c r="H51" s="12" t="n">
        <x:f>AVERAGEIFS('本次记录'!I$86:I$115,'本次记录'!$A$86:$A$115,$A51,'本次记录'!$C$86:$C$115,$B51)</x:f>
        <x:v>50.733331880019975</x:v>
      </x:c>
      <x:c r="I51" s="2"/>
      <x:c r="J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 ht="22" customHeight="1">
      <x:c r="A54" s="2" t="str">
        <x:v>解释：原始单库对照未使用校准图，也只用相同80%训练图。不可与全训练集旧结果混比。</x:v>
      </x:c>
      <x:c r="B54" s="2"/>
      <x:c r="C54" s="2"/>
      <x:c r="D54" s="2"/>
      <x:c r="E54" s="2"/>
      <x:c r="F54" s="2"/>
      <x:c r="G54" s="2"/>
      <x:c r="H54" s="2"/>
      <x:c r="I54" s="2"/>
      <x:c r="J54" s="2"/>
    </x:row>
    <x:row r="55" ht="22" customHeight="1">
      <x:c r="A55" s="2" t="str">
        <x:v>限制：3类为既有收益/失败案例，不能证明跨未知类别泛化；默认门限未根据本次成绩再调。</x:v>
      </x:c>
      <x:c r="B55" s="2"/>
      <x:c r="C55" s="2"/>
      <x:c r="D55" s="2"/>
      <x:c r="E55" s="2"/>
      <x:c r="F55" s="2"/>
      <x:c r="G55" s="2"/>
      <x:c r="H55" s="2"/>
      <x:c r="I55" s="2"/>
      <x:c r="J55" s="2"/>
    </x:row>
    <x:row r="56" ht="22" customHeight="1">
      <x:c r="A56" s="2" t="str">
        <x:v>查看逐seed差值：本次记录 G–I 对双分支固定，J–L 对原始单库。标准差采用样本标准差。</x:v>
      </x:c>
      <x:c r="B56" s="2"/>
      <x:c r="C56" s="2"/>
      <x:c r="D56" s="2"/>
      <x:c r="E56" s="2"/>
      <x:c r="F56" s="2"/>
      <x:c r="G56" s="2"/>
      <x:c r="H56" s="2"/>
      <x:c r="I56" s="2"/>
      <x:c r="J56" s="2"/>
    </x:row>
    <x:row r="57" ht="22" customHeight="1">
      <x:c r="A57" s="2" t="str">
        <x:v>耗时含Windows环境变化，不与旧记录作算法归因。完整统计与校准诊断保存在同目录CSV/JSON。</x:v>
      </x:c>
      <x:c r="B57" s="2"/>
      <x:c r="C57" s="2"/>
      <x:c r="D57" s="2"/>
      <x:c r="E57" s="2"/>
      <x:c r="F57" s="2"/>
      <x:c r="G57" s="2"/>
      <x:c r="H57" s="2"/>
      <x:c r="I57" s="2"/>
      <x:c r="J57" s="2"/>
    </x:row>
    <x:row r="58" ht="22" customHeight="1">
      <x:c r="A58" s="2" t="str">
        <x:v>异常像素AUROC：只选含真实异常的图像，再统计其中全部像素；不是只计算缺陷掩码内像素。</x:v>
      </x:c>
      <x:c r="B58" s="2"/>
      <x:c r="C58" s="2"/>
      <x:c r="D58" s="2"/>
      <x:c r="E58" s="2"/>
      <x:c r="F58" s="2"/>
      <x:c r="G58" s="2"/>
      <x:c r="H58" s="2"/>
      <x:c r="I58" s="2"/>
      <x:c r="J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</x:sheetData>
  <x:conditionalFormatting sqref="E9:G12">
    <x:cfRule type="cellIs" dxfId="4" priority="1" operator="lessThan">
      <x:formula>0</x:formula>
    </x:cfRule>
    <x:cfRule type="cellIs" dxfId="5" priority="2" operator="greaterThan">
      <x:formula>0</x:formula>
    </x:cfRule>
  </x:conditionalFormatting>
  <x:conditionalFormatting sqref="I27:J41">
    <x:cfRule type="cellIs" dxfId="6" priority="3" operator="lessThan">
      <x:formula>0</x:formula>
    </x:cfRule>
    <x:cfRule type="cellIs" dxfId="7" priority="4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1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3" t="str">
        <x:v>本次真实运行记录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2" t="str">
        <x:v>来源：new_metrics.csv、new_timings.csv。具体命令、划分和源码哈希见同目录 protocol.json。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4" customHeight="1">
      <x:c r="A4" s="8" t="str">
        <x:v>类别</x:v>
      </x:c>
      <x:c r="B4" s="8" t="str">
        <x:v>seed</x:v>
      </x:c>
      <x:c r="C4" s="8" t="str">
        <x:v>方法</x:v>
      </x:c>
      <x:c r="D4" s="8" t="str">
        <x:v>图像AUROC</x:v>
      </x:c>
      <x:c r="E4" s="8" t="str">
        <x:v>全像素AUROC</x:v>
      </x:c>
      <x:c r="F4" s="8" t="str">
        <x:v>异常像素AUROC</x:v>
      </x:c>
      <x:c r="G4" s="8" t="str">
        <x:v>图像Δ固定</x:v>
      </x:c>
      <x:c r="H4" s="8" t="str">
        <x:v>全像素Δ固定</x:v>
      </x:c>
      <x:c r="I4" s="8" t="str">
        <x:v>异常像素Δ固定</x:v>
      </x:c>
      <x:c r="J4" s="8" t="str">
        <x:v>图像Δ原始</x:v>
      </x:c>
      <x:c r="K4" s="8" t="str">
        <x:v>全像素Δ原始</x:v>
      </x:c>
      <x:c r="L4" s="8" t="str">
        <x:v>异常像素Δ原始</x:v>
      </x:c>
    </x:row>
    <x:row r="5" ht="22" customHeight="1">
      <x:c r="A5" s="2" t="str">
        <x:v>bottle</x:v>
      </x:c>
      <x:c r="B5" s="2" t="n">
        <x:v>0</x:v>
      </x:c>
      <x:c r="C5" s="2" t="str">
        <x:v>原始单库</x:v>
      </x:c>
      <x:c r="D5" s="9" t="n">
        <x:v>1</x:v>
      </x:c>
      <x:c r="E5" s="9" t="n">
        <x:v>0.9841785349837603</x:v>
      </x:c>
      <x:c r="F5" s="9" t="n">
        <x:v>0.9786930446445762</x:v>
      </x:c>
      <x:c r="G5" s="10" t="n">
        <x:f>D5-SUMIFS(D$5:D$79,$A$5:$A$79,$A5,$B$5:$B$79,$B5,$C$5:$C$79,"双分支固定")</x:f>
        <x:v>0</x:v>
      </x:c>
      <x:c r="H5" s="10" t="n">
        <x:f>E5-SUMIFS(E$5:E$79,$A$5:$A$79,$A5,$B$5:$B$79,$B5,$C$5:$C$79,"双分支固定")</x:f>
        <x:v>0.0026213406756888658</x:v>
      </x:c>
      <x:c r="I5" s="10" t="n">
        <x:f>F5-SUMIFS(F$5:F$79,$A$5:$A$79,$A5,$B$5:$B$79,$B5,$C$5:$C$79,"双分支固定")</x:f>
        <x:v>0.0035765209553272337</x:v>
      </x:c>
      <x:c r="J5" s="10" t="n">
        <x:f>D5-SUMIFS(D$5:D$79,$A$5:$A$79,$A5,$B$5:$B$79,$B5,$C$5:$C$79,"原始单库")</x:f>
        <x:v>0</x:v>
      </x:c>
      <x:c r="K5" s="10" t="n">
        <x:f>E5-SUMIFS(E$5:E$79,$A$5:$A$79,$A5,$B$5:$B$79,$B5,$C$5:$C$79,"原始单库")</x:f>
        <x:v>0</x:v>
      </x:c>
      <x:c r="L5" s="10" t="n">
        <x:f>F5-SUMIFS(F$5:F$79,$A$5:$A$79,$A5,$B$5:$B$79,$B5,$C$5:$C$79,"原始单库")</x:f>
        <x:v>0</x:v>
      </x:c>
    </x:row>
    <x:row r="6" ht="22" customHeight="1">
      <x:c r="A6" s="2" t="str">
        <x:v>bottle</x:v>
      </x:c>
      <x:c r="B6" s="2" t="n">
        <x:v>0</x:v>
      </x:c>
      <x:c r="C6" s="2" t="str">
        <x:v>双分支固定</x:v>
      </x:c>
      <x:c r="D6" s="9" t="n">
        <x:v>1</x:v>
      </x:c>
      <x:c r="E6" s="9" t="n">
        <x:v>0.9815571943080714</x:v>
      </x:c>
      <x:c r="F6" s="9" t="n">
        <x:v>0.975116523689249</x:v>
      </x:c>
      <x:c r="G6" s="10" t="n">
        <x:f>D6-SUMIFS(D$5:D$79,$A$5:$A$79,$A6,$B$5:$B$79,$B6,$C$5:$C$79,"双分支固定")</x:f>
        <x:v>0</x:v>
      </x:c>
      <x:c r="H6" s="10" t="n">
        <x:f>E6-SUMIFS(E$5:E$79,$A$5:$A$79,$A6,$B$5:$B$79,$B6,$C$5:$C$79,"双分支固定")</x:f>
        <x:v>0</x:v>
      </x:c>
      <x:c r="I6" s="10" t="n">
        <x:f>F6-SUMIFS(F$5:F$79,$A$5:$A$79,$A6,$B$5:$B$79,$B6,$C$5:$C$79,"双分支固定")</x:f>
        <x:v>0</x:v>
      </x:c>
      <x:c r="J6" s="10" t="n">
        <x:f>D6-SUMIFS(D$5:D$79,$A$5:$A$79,$A6,$B$5:$B$79,$B6,$C$5:$C$79,"原始单库")</x:f>
        <x:v>0</x:v>
      </x:c>
      <x:c r="K6" s="10" t="n">
        <x:f>E6-SUMIFS(E$5:E$79,$A$5:$A$79,$A6,$B$5:$B$79,$B6,$C$5:$C$79,"原始单库")</x:f>
        <x:v>-0.0026213406756888658</x:v>
      </x:c>
      <x:c r="L6" s="10" t="n">
        <x:f>F6-SUMIFS(F$5:F$79,$A$5:$A$79,$A6,$B$5:$B$79,$B6,$C$5:$C$79,"原始单库")</x:f>
        <x:v>-0.0035765209553272337</x:v>
      </x:c>
    </x:row>
    <x:row r="7" ht="22" customHeight="1">
      <x:c r="A7" s="2" t="str">
        <x:v>bottle</x:v>
      </x:c>
      <x:c r="B7" s="2" t="n">
        <x:v>0</x:v>
      </x:c>
      <x:c r="C7" s="2" t="str">
        <x:v>门控加收缩</x:v>
      </x:c>
      <x:c r="D7" s="9" t="n">
        <x:v>1</x:v>
      </x:c>
      <x:c r="E7" s="9" t="n">
        <x:v>0.982074701323371</x:v>
      </x:c>
      <x:c r="F7" s="9" t="n">
        <x:v>0.9758200751907087</x:v>
      </x:c>
      <x:c r="G7" s="10" t="n">
        <x:f>D7-SUMIFS(D$5:D$79,$A$5:$A$79,$A7,$B$5:$B$79,$B7,$C$5:$C$79,"双分支固定")</x:f>
        <x:v>0</x:v>
      </x:c>
      <x:c r="H7" s="10" t="n">
        <x:f>E7-SUMIFS(E$5:E$79,$A$5:$A$79,$A7,$B$5:$B$79,$B7,$C$5:$C$79,"双分支固定")</x:f>
        <x:v>0.0005175070152996231</x:v>
      </x:c>
      <x:c r="I7" s="10" t="n">
        <x:f>F7-SUMIFS(F$5:F$79,$A$5:$A$79,$A7,$B$5:$B$79,$B7,$C$5:$C$79,"双分支固定")</x:f>
        <x:v>0.0007035515014597316</x:v>
      </x:c>
      <x:c r="J7" s="10" t="n">
        <x:f>D7-SUMIFS(D$5:D$79,$A$5:$A$79,$A7,$B$5:$B$79,$B7,$C$5:$C$79,"原始单库")</x:f>
        <x:v>0</x:v>
      </x:c>
      <x:c r="K7" s="10" t="n">
        <x:f>E7-SUMIFS(E$5:E$79,$A$5:$A$79,$A7,$B$5:$B$79,$B7,$C$5:$C$79,"原始单库")</x:f>
        <x:v>-0.0021038336603892427</x:v>
      </x:c>
      <x:c r="L7" s="10" t="n">
        <x:f>F7-SUMIFS(F$5:F$79,$A$5:$A$79,$A7,$B$5:$B$79,$B7,$C$5:$C$79,"原始单库")</x:f>
        <x:v>-0.002872969453867502</x:v>
      </x:c>
    </x:row>
    <x:row r="8" ht="22" customHeight="1">
      <x:c r="A8" s="2" t="str">
        <x:v>bottle</x:v>
      </x:c>
      <x:c r="B8" s="2" t="n">
        <x:v>0</x:v>
      </x:c>
      <x:c r="C8" s="2" t="str">
        <x:v>像素敏感性</x:v>
      </x:c>
      <x:c r="D8" s="9" t="n">
        <x:v>1</x:v>
      </x:c>
      <x:c r="E8" s="9" t="n">
        <x:v>0.9830606251987988</x:v>
      </x:c>
      <x:c r="F8" s="9" t="n">
        <x:v>0.9771855689187542</x:v>
      </x:c>
      <x:c r="G8" s="10" t="n">
        <x:f>D8-SUMIFS(D$5:D$79,$A$5:$A$79,$A8,$B$5:$B$79,$B8,$C$5:$C$79,"双分支固定")</x:f>
        <x:v>0</x:v>
      </x:c>
      <x:c r="H8" s="10" t="n">
        <x:f>E8-SUMIFS(E$5:E$79,$A$5:$A$79,$A8,$B$5:$B$79,$B8,$C$5:$C$79,"双分支固定")</x:f>
        <x:v>0.001503430890727353</x:v>
      </x:c>
      <x:c r="I8" s="10" t="n">
        <x:f>F8-SUMIFS(F$5:F$79,$A$5:$A$79,$A8,$B$5:$B$79,$B8,$C$5:$C$79,"双分支固定")</x:f>
        <x:v>0.0020690452295052397</x:v>
      </x:c>
      <x:c r="J8" s="10" t="n">
        <x:f>D8-SUMIFS(D$5:D$79,$A$5:$A$79,$A8,$B$5:$B$79,$B8,$C$5:$C$79,"原始单库")</x:f>
        <x:v>0</x:v>
      </x:c>
      <x:c r="K8" s="10" t="n">
        <x:f>E8-SUMIFS(E$5:E$79,$A$5:$A$79,$A8,$B$5:$B$79,$B8,$C$5:$C$79,"原始单库")</x:f>
        <x:v>-0.0011179097849615127</x:v>
      </x:c>
      <x:c r="L8" s="10" t="n">
        <x:f>F8-SUMIFS(F$5:F$79,$A$5:$A$79,$A8,$B$5:$B$79,$B8,$C$5:$C$79,"原始单库")</x:f>
        <x:v>-0.001507475725821994</x:v>
      </x:c>
    </x:row>
    <x:row r="9" ht="22" customHeight="1">
      <x:c r="A9" s="2" t="str">
        <x:v>bottle</x:v>
      </x:c>
      <x:c r="B9" s="2" t="n">
        <x:v>0</x:v>
      </x:c>
      <x:c r="C9" s="2" t="str">
        <x:v>收缩0.25</x:v>
      </x:c>
      <x:c r="D9" s="9" t="n">
        <x:v>1</x:v>
      </x:c>
      <x:c r="E9" s="9" t="n">
        <x:v>0.982074701323371</x:v>
      </x:c>
      <x:c r="F9" s="9" t="n">
        <x:v>0.9758200751907087</x:v>
      </x:c>
      <x:c r="G9" s="10" t="n">
        <x:f>D9-SUMIFS(D$5:D$79,$A$5:$A$79,$A9,$B$5:$B$79,$B9,$C$5:$C$79,"双分支固定")</x:f>
        <x:v>0</x:v>
      </x:c>
      <x:c r="H9" s="10" t="n">
        <x:f>E9-SUMIFS(E$5:E$79,$A$5:$A$79,$A9,$B$5:$B$79,$B9,$C$5:$C$79,"双分支固定")</x:f>
        <x:v>0.0005175070152996231</x:v>
      </x:c>
      <x:c r="I9" s="10" t="n">
        <x:f>F9-SUMIFS(F$5:F$79,$A$5:$A$79,$A9,$B$5:$B$79,$B9,$C$5:$C$79,"双分支固定")</x:f>
        <x:v>0.0007035515014597316</x:v>
      </x:c>
      <x:c r="J9" s="10" t="n">
        <x:f>D9-SUMIFS(D$5:D$79,$A$5:$A$79,$A9,$B$5:$B$79,$B9,$C$5:$C$79,"原始单库")</x:f>
        <x:v>0</x:v>
      </x:c>
      <x:c r="K9" s="10" t="n">
        <x:f>E9-SUMIFS(E$5:E$79,$A$5:$A$79,$A9,$B$5:$B$79,$B9,$C$5:$C$79,"原始单库")</x:f>
        <x:v>-0.0021038336603892427</x:v>
      </x:c>
      <x:c r="L9" s="10" t="n">
        <x:f>F9-SUMIFS(F$5:F$79,$A$5:$A$79,$A9,$B$5:$B$79,$B9,$C$5:$C$79,"原始单库")</x:f>
        <x:v>-0.002872969453867502</x:v>
      </x:c>
    </x:row>
    <x:row r="10" ht="22" customHeight="1">
      <x:c r="A10" s="2" t="str">
        <x:v>bottle</x:v>
      </x:c>
      <x:c r="B10" s="2" t="n">
        <x:v>1</x:v>
      </x:c>
      <x:c r="C10" s="2" t="str">
        <x:v>原始单库</x:v>
      </x:c>
      <x:c r="D10" s="9" t="n">
        <x:v>1</x:v>
      </x:c>
      <x:c r="E10" s="9" t="n">
        <x:v>0.9843508897768007</x:v>
      </x:c>
      <x:c r="F10" s="9" t="n">
        <x:v>0.9789223930417037</x:v>
      </x:c>
      <x:c r="G10" s="10" t="n">
        <x:f>D10-SUMIFS(D$5:D$79,$A$5:$A$79,$A10,$B$5:$B$79,$B10,$C$5:$C$79,"双分支固定")</x:f>
        <x:v>0</x:v>
      </x:c>
      <x:c r="H10" s="10" t="n">
        <x:f>E10-SUMIFS(E$5:E$79,$A$5:$A$79,$A10,$B$5:$B$79,$B10,$C$5:$C$79,"双分支固定")</x:f>
        <x:v>0.0025317055825416768</x:v>
      </x:c>
      <x:c r="I10" s="10" t="n">
        <x:f>F10-SUMIFS(F$5:F$79,$A$5:$A$79,$A10,$B$5:$B$79,$B10,$C$5:$C$79,"双分支固定")</x:f>
        <x:v>0.0034497340976978874</x:v>
      </x:c>
      <x:c r="J10" s="10" t="n">
        <x:f>D10-SUMIFS(D$5:D$79,$A$5:$A$79,$A10,$B$5:$B$79,$B10,$C$5:$C$79,"原始单库")</x:f>
        <x:v>0</x:v>
      </x:c>
      <x:c r="K10" s="10" t="n">
        <x:f>E10-SUMIFS(E$5:E$79,$A$5:$A$79,$A10,$B$5:$B$79,$B10,$C$5:$C$79,"原始单库")</x:f>
        <x:v>0</x:v>
      </x:c>
      <x:c r="L10" s="10" t="n">
        <x:f>F10-SUMIFS(F$5:F$79,$A$5:$A$79,$A10,$B$5:$B$79,$B10,$C$5:$C$79,"原始单库")</x:f>
        <x:v>0</x:v>
      </x:c>
    </x:row>
    <x:row r="11" ht="22" customHeight="1">
      <x:c r="A11" s="2" t="str">
        <x:v>bottle</x:v>
      </x:c>
      <x:c r="B11" s="2" t="n">
        <x:v>1</x:v>
      </x:c>
      <x:c r="C11" s="2" t="str">
        <x:v>双分支固定</x:v>
      </x:c>
      <x:c r="D11" s="9" t="n">
        <x:v>1</x:v>
      </x:c>
      <x:c r="E11" s="9" t="n">
        <x:v>0.9818191841942591</x:v>
      </x:c>
      <x:c r="F11" s="9" t="n">
        <x:v>0.9754726589440058</x:v>
      </x:c>
      <x:c r="G11" s="10" t="n">
        <x:f>D11-SUMIFS(D$5:D$79,$A$5:$A$79,$A11,$B$5:$B$79,$B11,$C$5:$C$79,"双分支固定")</x:f>
        <x:v>0</x:v>
      </x:c>
      <x:c r="H11" s="10" t="n">
        <x:f>E11-SUMIFS(E$5:E$79,$A$5:$A$79,$A11,$B$5:$B$79,$B11,$C$5:$C$79,"双分支固定")</x:f>
        <x:v>0</x:v>
      </x:c>
      <x:c r="I11" s="10" t="n">
        <x:f>F11-SUMIFS(F$5:F$79,$A$5:$A$79,$A11,$B$5:$B$79,$B11,$C$5:$C$79,"双分支固定")</x:f>
        <x:v>0</x:v>
      </x:c>
      <x:c r="J11" s="10" t="n">
        <x:f>D11-SUMIFS(D$5:D$79,$A$5:$A$79,$A11,$B$5:$B$79,$B11,$C$5:$C$79,"原始单库")</x:f>
        <x:v>0</x:v>
      </x:c>
      <x:c r="K11" s="10" t="n">
        <x:f>E11-SUMIFS(E$5:E$79,$A$5:$A$79,$A11,$B$5:$B$79,$B11,$C$5:$C$79,"原始单库")</x:f>
        <x:v>-0.0025317055825416768</x:v>
      </x:c>
      <x:c r="L11" s="10" t="n">
        <x:f>F11-SUMIFS(F$5:F$79,$A$5:$A$79,$A11,$B$5:$B$79,$B11,$C$5:$C$79,"原始单库")</x:f>
        <x:v>-0.0034497340976978874</x:v>
      </x:c>
    </x:row>
    <x:row r="12" ht="22" customHeight="1">
      <x:c r="A12" s="2" t="str">
        <x:v>bottle</x:v>
      </x:c>
      <x:c r="B12" s="2" t="n">
        <x:v>1</x:v>
      </x:c>
      <x:c r="C12" s="2" t="str">
        <x:v>门控加收缩</x:v>
      </x:c>
      <x:c r="D12" s="9" t="n">
        <x:v>1</x:v>
      </x:c>
      <x:c r="E12" s="9" t="n">
        <x:v>0.9822446124612473</x:v>
      </x:c>
      <x:c r="F12" s="9" t="n">
        <x:v>0.9760524823774162</x:v>
      </x:c>
      <x:c r="G12" s="10" t="n">
        <x:f>D12-SUMIFS(D$5:D$79,$A$5:$A$79,$A12,$B$5:$B$79,$B12,$C$5:$C$79,"双分支固定")</x:f>
        <x:v>0</x:v>
      </x:c>
      <x:c r="H12" s="10" t="n">
        <x:f>E12-SUMIFS(E$5:E$79,$A$5:$A$79,$A12,$B$5:$B$79,$B12,$C$5:$C$79,"双分支固定")</x:f>
        <x:v>0.0004254282669882148</x:v>
      </x:c>
      <x:c r="I12" s="10" t="n">
        <x:f>F12-SUMIFS(F$5:F$79,$A$5:$A$79,$A12,$B$5:$B$79,$B12,$C$5:$C$79,"双分支固定")</x:f>
        <x:v>0.0005798234334103425</x:v>
      </x:c>
      <x:c r="J12" s="10" t="n">
        <x:f>D12-SUMIFS(D$5:D$79,$A$5:$A$79,$A12,$B$5:$B$79,$B12,$C$5:$C$79,"原始单库")</x:f>
        <x:v>0</x:v>
      </x:c>
      <x:c r="K12" s="10" t="n">
        <x:f>E12-SUMIFS(E$5:E$79,$A$5:$A$79,$A12,$B$5:$B$79,$B12,$C$5:$C$79,"原始单库")</x:f>
        <x:v>-0.002106277315553462</x:v>
      </x:c>
      <x:c r="L12" s="10" t="n">
        <x:f>F12-SUMIFS(F$5:F$79,$A$5:$A$79,$A12,$B$5:$B$79,$B12,$C$5:$C$79,"原始单库")</x:f>
        <x:v>-0.002869910664287545</x:v>
      </x:c>
    </x:row>
    <x:row r="13" ht="22" customHeight="1">
      <x:c r="A13" s="2" t="str">
        <x:v>bottle</x:v>
      </x:c>
      <x:c r="B13" s="2" t="n">
        <x:v>1</x:v>
      </x:c>
      <x:c r="C13" s="2" t="str">
        <x:v>像素敏感性</x:v>
      </x:c>
      <x:c r="D13" s="9" t="n">
        <x:v>1</x:v>
      </x:c>
      <x:c r="E13" s="9" t="n">
        <x:v>0.9830620287774008</x:v>
      </x:c>
      <x:c r="F13" s="9" t="n">
        <x:v>0.9771925771676173</x:v>
      </x:c>
      <x:c r="G13" s="10" t="n">
        <x:f>D13-SUMIFS(D$5:D$79,$A$5:$A$79,$A13,$B$5:$B$79,$B13,$C$5:$C$79,"双分支固定")</x:f>
        <x:v>0</x:v>
      </x:c>
      <x:c r="H13" s="10" t="n">
        <x:f>E13-SUMIFS(E$5:E$79,$A$5:$A$79,$A13,$B$5:$B$79,$B13,$C$5:$C$79,"双分支固定")</x:f>
        <x:v>0.0012428445831417223</x:v>
      </x:c>
      <x:c r="I13" s="10" t="n">
        <x:f>F13-SUMIFS(F$5:F$79,$A$5:$A$79,$A13,$B$5:$B$79,$B13,$C$5:$C$79,"双分支固定")</x:f>
        <x:v>0.0017199182236115051</x:v>
      </x:c>
      <x:c r="J13" s="10" t="n">
        <x:f>D13-SUMIFS(D$5:D$79,$A$5:$A$79,$A13,$B$5:$B$79,$B13,$C$5:$C$79,"原始单库")</x:f>
        <x:v>0</x:v>
      </x:c>
      <x:c r="K13" s="10" t="n">
        <x:f>E13-SUMIFS(E$5:E$79,$A$5:$A$79,$A13,$B$5:$B$79,$B13,$C$5:$C$79,"原始单库")</x:f>
        <x:v>-0.0012888609993999545</x:v>
      </x:c>
      <x:c r="L13" s="10" t="n">
        <x:f>F13-SUMIFS(F$5:F$79,$A$5:$A$79,$A13,$B$5:$B$79,$B13,$C$5:$C$79,"原始单库")</x:f>
        <x:v>-0.0017298158740863823</x:v>
      </x:c>
    </x:row>
    <x:row r="14" ht="22" customHeight="1">
      <x:c r="A14" s="2" t="str">
        <x:v>bottle</x:v>
      </x:c>
      <x:c r="B14" s="2" t="n">
        <x:v>1</x:v>
      </x:c>
      <x:c r="C14" s="2" t="str">
        <x:v>收缩0.25</x:v>
      </x:c>
      <x:c r="D14" s="9" t="n">
        <x:v>1</x:v>
      </x:c>
      <x:c r="E14" s="9" t="n">
        <x:v>0.9822446124612473</x:v>
      </x:c>
      <x:c r="F14" s="9" t="n">
        <x:v>0.9760524823774162</x:v>
      </x:c>
      <x:c r="G14" s="10" t="n">
        <x:f>D14-SUMIFS(D$5:D$79,$A$5:$A$79,$A14,$B$5:$B$79,$B14,$C$5:$C$79,"双分支固定")</x:f>
        <x:v>0</x:v>
      </x:c>
      <x:c r="H14" s="10" t="n">
        <x:f>E14-SUMIFS(E$5:E$79,$A$5:$A$79,$A14,$B$5:$B$79,$B14,$C$5:$C$79,"双分支固定")</x:f>
        <x:v>0.0004254282669882148</x:v>
      </x:c>
      <x:c r="I14" s="10" t="n">
        <x:f>F14-SUMIFS(F$5:F$79,$A$5:$A$79,$A14,$B$5:$B$79,$B14,$C$5:$C$79,"双分支固定")</x:f>
        <x:v>0.0005798234334103425</x:v>
      </x:c>
      <x:c r="J14" s="10" t="n">
        <x:f>D14-SUMIFS(D$5:D$79,$A$5:$A$79,$A14,$B$5:$B$79,$B14,$C$5:$C$79,"原始单库")</x:f>
        <x:v>0</x:v>
      </x:c>
      <x:c r="K14" s="10" t="n">
        <x:f>E14-SUMIFS(E$5:E$79,$A$5:$A$79,$A14,$B$5:$B$79,$B14,$C$5:$C$79,"原始单库")</x:f>
        <x:v>-0.002106277315553462</x:v>
      </x:c>
      <x:c r="L14" s="10" t="n">
        <x:f>F14-SUMIFS(F$5:F$79,$A$5:$A$79,$A14,$B$5:$B$79,$B14,$C$5:$C$79,"原始单库")</x:f>
        <x:v>-0.002869910664287545</x:v>
      </x:c>
    </x:row>
    <x:row r="15" ht="22" customHeight="1">
      <x:c r="A15" s="2" t="str">
        <x:v>bottle</x:v>
      </x:c>
      <x:c r="B15" s="2" t="n">
        <x:v>2</x:v>
      </x:c>
      <x:c r="C15" s="2" t="str">
        <x:v>原始单库</x:v>
      </x:c>
      <x:c r="D15" s="9" t="n">
        <x:v>1</x:v>
      </x:c>
      <x:c r="E15" s="9" t="n">
        <x:v>0.984222755176019</x:v>
      </x:c>
      <x:c r="F15" s="9" t="n">
        <x:v>0.9787549171770399</x:v>
      </x:c>
      <x:c r="G15" s="10" t="n">
        <x:f>D15-SUMIFS(D$5:D$79,$A$5:$A$79,$A15,$B$5:$B$79,$B15,$C$5:$C$79,"双分支固定")</x:f>
        <x:v>0</x:v>
      </x:c>
      <x:c r="H15" s="10" t="n">
        <x:f>E15-SUMIFS(E$5:E$79,$A$5:$A$79,$A15,$B$5:$B$79,$B15,$C$5:$C$79,"双分支固定")</x:f>
        <x:v>0.002621727920010697</x:v>
      </x:c>
      <x:c r="I15" s="10" t="n">
        <x:f>F15-SUMIFS(F$5:F$79,$A$5:$A$79,$A15,$B$5:$B$79,$B15,$C$5:$C$79,"双分支固定")</x:f>
        <x:v>0.0035689785047533507</x:v>
      </x:c>
      <x:c r="J15" s="10" t="n">
        <x:f>D15-SUMIFS(D$5:D$79,$A$5:$A$79,$A15,$B$5:$B$79,$B15,$C$5:$C$79,"原始单库")</x:f>
        <x:v>0</x:v>
      </x:c>
      <x:c r="K15" s="10" t="n">
        <x:f>E15-SUMIFS(E$5:E$79,$A$5:$A$79,$A15,$B$5:$B$79,$B15,$C$5:$C$79,"原始单库")</x:f>
        <x:v>0</x:v>
      </x:c>
      <x:c r="L15" s="10" t="n">
        <x:f>F15-SUMIFS(F$5:F$79,$A$5:$A$79,$A15,$B$5:$B$79,$B15,$C$5:$C$79,"原始单库")</x:f>
        <x:v>0</x:v>
      </x:c>
    </x:row>
    <x:row r="16" ht="22" customHeight="1">
      <x:c r="A16" s="2" t="str">
        <x:v>bottle</x:v>
      </x:c>
      <x:c r="B16" s="2" t="n">
        <x:v>2</x:v>
      </x:c>
      <x:c r="C16" s="2" t="str">
        <x:v>双分支固定</x:v>
      </x:c>
      <x:c r="D16" s="9" t="n">
        <x:v>1</x:v>
      </x:c>
      <x:c r="E16" s="9" t="n">
        <x:v>0.9816010272560083</x:v>
      </x:c>
      <x:c r="F16" s="9" t="n">
        <x:v>0.9751859386722865</x:v>
      </x:c>
      <x:c r="G16" s="10" t="n">
        <x:f>D16-SUMIFS(D$5:D$79,$A$5:$A$79,$A16,$B$5:$B$79,$B16,$C$5:$C$79,"双分支固定")</x:f>
        <x:v>0</x:v>
      </x:c>
      <x:c r="H16" s="10" t="n">
        <x:f>E16-SUMIFS(E$5:E$79,$A$5:$A$79,$A16,$B$5:$B$79,$B16,$C$5:$C$79,"双分支固定")</x:f>
        <x:v>0</x:v>
      </x:c>
      <x:c r="I16" s="10" t="n">
        <x:f>F16-SUMIFS(F$5:F$79,$A$5:$A$79,$A16,$B$5:$B$79,$B16,$C$5:$C$79,"双分支固定")</x:f>
        <x:v>0</x:v>
      </x:c>
      <x:c r="J16" s="10" t="n">
        <x:f>D16-SUMIFS(D$5:D$79,$A$5:$A$79,$A16,$B$5:$B$79,$B16,$C$5:$C$79,"原始单库")</x:f>
        <x:v>0</x:v>
      </x:c>
      <x:c r="K16" s="10" t="n">
        <x:f>E16-SUMIFS(E$5:E$79,$A$5:$A$79,$A16,$B$5:$B$79,$B16,$C$5:$C$79,"原始单库")</x:f>
        <x:v>-0.002621727920010697</x:v>
      </x:c>
      <x:c r="L16" s="10" t="n">
        <x:f>F16-SUMIFS(F$5:F$79,$A$5:$A$79,$A16,$B$5:$B$79,$B16,$C$5:$C$79,"原始单库")</x:f>
        <x:v>-0.0035689785047533507</x:v>
      </x:c>
    </x:row>
    <x:row r="17" ht="22" customHeight="1">
      <x:c r="A17" s="2" t="str">
        <x:v>bottle</x:v>
      </x:c>
      <x:c r="B17" s="2" t="n">
        <x:v>2</x:v>
      </x:c>
      <x:c r="C17" s="2" t="str">
        <x:v>门控加收缩</x:v>
      </x:c>
      <x:c r="D17" s="9" t="n">
        <x:v>1</x:v>
      </x:c>
      <x:c r="E17" s="9" t="n">
        <x:v>0.9822044816758089</x:v>
      </x:c>
      <x:c r="F17" s="9" t="n">
        <x:v>0.9760072471593669</x:v>
      </x:c>
      <x:c r="G17" s="10" t="n">
        <x:f>D17-SUMIFS(D$5:D$79,$A$5:$A$79,$A17,$B$5:$B$79,$B17,$C$5:$C$79,"双分支固定")</x:f>
        <x:v>0</x:v>
      </x:c>
      <x:c r="H17" s="10" t="n">
        <x:f>E17-SUMIFS(E$5:E$79,$A$5:$A$79,$A17,$B$5:$B$79,$B17,$C$5:$C$79,"双分支固定")</x:f>
        <x:v>0.0006034544198005865</x:v>
      </x:c>
      <x:c r="I17" s="10" t="n">
        <x:f>F17-SUMIFS(F$5:F$79,$A$5:$A$79,$A17,$B$5:$B$79,$B17,$C$5:$C$79,"双分支固定")</x:f>
        <x:v>0.0008213084870803966</x:v>
      </x:c>
      <x:c r="J17" s="10" t="n">
        <x:f>D17-SUMIFS(D$5:D$79,$A$5:$A$79,$A17,$B$5:$B$79,$B17,$C$5:$C$79,"原始单库")</x:f>
        <x:v>0</x:v>
      </x:c>
      <x:c r="K17" s="10" t="n">
        <x:f>E17-SUMIFS(E$5:E$79,$A$5:$A$79,$A17,$B$5:$B$79,$B17,$C$5:$C$79,"原始单库")</x:f>
        <x:v>-0.0020182735002101104</x:v>
      </x:c>
      <x:c r="L17" s="10" t="n">
        <x:f>F17-SUMIFS(F$5:F$79,$A$5:$A$79,$A17,$B$5:$B$79,$B17,$C$5:$C$79,"原始单库")</x:f>
        <x:v>-0.002747670017672954</x:v>
      </x:c>
    </x:row>
    <x:row r="18" ht="22" customHeight="1">
      <x:c r="A18" s="2" t="str">
        <x:v>bottle</x:v>
      </x:c>
      <x:c r="B18" s="2" t="n">
        <x:v>2</x:v>
      </x:c>
      <x:c r="C18" s="2" t="str">
        <x:v>像素敏感性</x:v>
      </x:c>
      <x:c r="D18" s="9" t="n">
        <x:v>1</x:v>
      </x:c>
      <x:c r="E18" s="9" t="n">
        <x:v>0.9832818114961064</x:v>
      </x:c>
      <x:c r="F18" s="9" t="n">
        <x:v>0.9775022867618096</x:v>
      </x:c>
      <x:c r="G18" s="10" t="n">
        <x:f>D18-SUMIFS(D$5:D$79,$A$5:$A$79,$A18,$B$5:$B$79,$B18,$C$5:$C$79,"双分支固定")</x:f>
        <x:v>0</x:v>
      </x:c>
      <x:c r="H18" s="10" t="n">
        <x:f>E18-SUMIFS(E$5:E$79,$A$5:$A$79,$A18,$B$5:$B$79,$B18,$C$5:$C$79,"双分支固定")</x:f>
        <x:v>0.0016807842400980988</x:v>
      </x:c>
      <x:c r="I18" s="10" t="n">
        <x:f>F18-SUMIFS(F$5:F$79,$A$5:$A$79,$A18,$B$5:$B$79,$B18,$C$5:$C$79,"双分支固定")</x:f>
        <x:v>0.0023163480895230792</x:v>
      </x:c>
      <x:c r="J18" s="10" t="n">
        <x:f>D18-SUMIFS(D$5:D$79,$A$5:$A$79,$A18,$B$5:$B$79,$B18,$C$5:$C$79,"原始单库")</x:f>
        <x:v>0</x:v>
      </x:c>
      <x:c r="K18" s="10" t="n">
        <x:f>E18-SUMIFS(E$5:E$79,$A$5:$A$79,$A18,$B$5:$B$79,$B18,$C$5:$C$79,"原始单库")</x:f>
        <x:v>-0.0009409436799125981</x:v>
      </x:c>
      <x:c r="L18" s="10" t="n">
        <x:f>F18-SUMIFS(F$5:F$79,$A$5:$A$79,$A18,$B$5:$B$79,$B18,$C$5:$C$79,"原始单库")</x:f>
        <x:v>-0.0012526304152302714</x:v>
      </x:c>
    </x:row>
    <x:row r="19" ht="22" customHeight="1">
      <x:c r="A19" s="2" t="str">
        <x:v>bottle</x:v>
      </x:c>
      <x:c r="B19" s="2" t="n">
        <x:v>2</x:v>
      </x:c>
      <x:c r="C19" s="2" t="str">
        <x:v>收缩0.25</x:v>
      </x:c>
      <x:c r="D19" s="9" t="n">
        <x:v>1</x:v>
      </x:c>
      <x:c r="E19" s="9" t="n">
        <x:v>0.9822044816758089</x:v>
      </x:c>
      <x:c r="F19" s="9" t="n">
        <x:v>0.9760072471593669</x:v>
      </x:c>
      <x:c r="G19" s="10" t="n">
        <x:f>D19-SUMIFS(D$5:D$79,$A$5:$A$79,$A19,$B$5:$B$79,$B19,$C$5:$C$79,"双分支固定")</x:f>
        <x:v>0</x:v>
      </x:c>
      <x:c r="H19" s="10" t="n">
        <x:f>E19-SUMIFS(E$5:E$79,$A$5:$A$79,$A19,$B$5:$B$79,$B19,$C$5:$C$79,"双分支固定")</x:f>
        <x:v>0.0006034544198005865</x:v>
      </x:c>
      <x:c r="I19" s="10" t="n">
        <x:f>F19-SUMIFS(F$5:F$79,$A$5:$A$79,$A19,$B$5:$B$79,$B19,$C$5:$C$79,"双分支固定")</x:f>
        <x:v>0.0008213084870803966</x:v>
      </x:c>
      <x:c r="J19" s="10" t="n">
        <x:f>D19-SUMIFS(D$5:D$79,$A$5:$A$79,$A19,$B$5:$B$79,$B19,$C$5:$C$79,"原始单库")</x:f>
        <x:v>0</x:v>
      </x:c>
      <x:c r="K19" s="10" t="n">
        <x:f>E19-SUMIFS(E$5:E$79,$A$5:$A$79,$A19,$B$5:$B$79,$B19,$C$5:$C$79,"原始单库")</x:f>
        <x:v>-0.0020182735002101104</x:v>
      </x:c>
      <x:c r="L19" s="10" t="n">
        <x:f>F19-SUMIFS(F$5:F$79,$A$5:$A$79,$A19,$B$5:$B$79,$B19,$C$5:$C$79,"原始单库")</x:f>
        <x:v>-0.002747670017672954</x:v>
      </x:c>
    </x:row>
    <x:row r="20" ht="22" customHeight="1">
      <x:c r="A20" s="2" t="str">
        <x:v>bottle</x:v>
      </x:c>
      <x:c r="B20" s="2" t="n">
        <x:v>3</x:v>
      </x:c>
      <x:c r="C20" s="2" t="str">
        <x:v>原始单库</x:v>
      </x:c>
      <x:c r="D20" s="9" t="n">
        <x:v>1</x:v>
      </x:c>
      <x:c r="E20" s="9" t="n">
        <x:v>0.9840763623115965</x:v>
      </x:c>
      <x:c r="F20" s="9" t="n">
        <x:v>0.9785566613912559</x:v>
      </x:c>
      <x:c r="G20" s="10" t="n">
        <x:f>D20-SUMIFS(D$5:D$79,$A$5:$A$79,$A20,$B$5:$B$79,$B20,$C$5:$C$79,"双分支固定")</x:f>
        <x:v>0</x:v>
      </x:c>
      <x:c r="H20" s="10" t="n">
        <x:f>E20-SUMIFS(E$5:E$79,$A$5:$A$79,$A20,$B$5:$B$79,$B20,$C$5:$C$79,"双分支固定")</x:f>
        <x:v>0.002555692636412421</x:v>
      </x:c>
      <x:c r="I20" s="10" t="n">
        <x:f>F20-SUMIFS(F$5:F$79,$A$5:$A$79,$A20,$B$5:$B$79,$B20,$C$5:$C$79,"双分支固定")</x:f>
        <x:v>0.00348544237576931</x:v>
      </x:c>
      <x:c r="J20" s="10" t="n">
        <x:f>D20-SUMIFS(D$5:D$79,$A$5:$A$79,$A20,$B$5:$B$79,$B20,$C$5:$C$79,"原始单库")</x:f>
        <x:v>0</x:v>
      </x:c>
      <x:c r="K20" s="10" t="n">
        <x:f>E20-SUMIFS(E$5:E$79,$A$5:$A$79,$A20,$B$5:$B$79,$B20,$C$5:$C$79,"原始单库")</x:f>
        <x:v>0</x:v>
      </x:c>
      <x:c r="L20" s="10" t="n">
        <x:f>F20-SUMIFS(F$5:F$79,$A$5:$A$79,$A20,$B$5:$B$79,$B20,$C$5:$C$79,"原始单库")</x:f>
        <x:v>0</x:v>
      </x:c>
    </x:row>
    <x:row r="21" ht="22" customHeight="1">
      <x:c r="A21" s="2" t="str">
        <x:v>bottle</x:v>
      </x:c>
      <x:c r="B21" s="2" t="n">
        <x:v>3</x:v>
      </x:c>
      <x:c r="C21" s="2" t="str">
        <x:v>双分支固定</x:v>
      </x:c>
      <x:c r="D21" s="9" t="n">
        <x:v>1</x:v>
      </x:c>
      <x:c r="E21" s="9" t="n">
        <x:v>0.981520669675184</x:v>
      </x:c>
      <x:c r="F21" s="9" t="n">
        <x:v>0.9750712190154865</x:v>
      </x:c>
      <x:c r="G21" s="10" t="n">
        <x:f>D21-SUMIFS(D$5:D$79,$A$5:$A$79,$A21,$B$5:$B$79,$B21,$C$5:$C$79,"双分支固定")</x:f>
        <x:v>0</x:v>
      </x:c>
      <x:c r="H21" s="10" t="n">
        <x:f>E21-SUMIFS(E$5:E$79,$A$5:$A$79,$A21,$B$5:$B$79,$B21,$C$5:$C$79,"双分支固定")</x:f>
        <x:v>0</x:v>
      </x:c>
      <x:c r="I21" s="10" t="n">
        <x:f>F21-SUMIFS(F$5:F$79,$A$5:$A$79,$A21,$B$5:$B$79,$B21,$C$5:$C$79,"双分支固定")</x:f>
        <x:v>0</x:v>
      </x:c>
      <x:c r="J21" s="10" t="n">
        <x:f>D21-SUMIFS(D$5:D$79,$A$5:$A$79,$A21,$B$5:$B$79,$B21,$C$5:$C$79,"原始单库")</x:f>
        <x:v>0</x:v>
      </x:c>
      <x:c r="K21" s="10" t="n">
        <x:f>E21-SUMIFS(E$5:E$79,$A$5:$A$79,$A21,$B$5:$B$79,$B21,$C$5:$C$79,"原始单库")</x:f>
        <x:v>-0.002555692636412421</x:v>
      </x:c>
      <x:c r="L21" s="10" t="n">
        <x:f>F21-SUMIFS(F$5:F$79,$A$5:$A$79,$A21,$B$5:$B$79,$B21,$C$5:$C$79,"原始单库")</x:f>
        <x:v>-0.00348544237576931</x:v>
      </x:c>
    </x:row>
    <x:row r="22" ht="22" customHeight="1">
      <x:c r="A22" s="2" t="str">
        <x:v>bottle</x:v>
      </x:c>
      <x:c r="B22" s="2" t="n">
        <x:v>3</x:v>
      </x:c>
      <x:c r="C22" s="2" t="str">
        <x:v>门控加收缩</x:v>
      </x:c>
      <x:c r="D22" s="9" t="n">
        <x:v>1</x:v>
      </x:c>
      <x:c r="E22" s="9" t="n">
        <x:v>0.9818573994160689</x:v>
      </x:c>
      <x:c r="F22" s="9" t="n">
        <x:v>0.9755300873269597</x:v>
      </x:c>
      <x:c r="G22" s="10" t="n">
        <x:f>D22-SUMIFS(D$5:D$79,$A$5:$A$79,$A22,$B$5:$B$79,$B22,$C$5:$C$79,"双分支固定")</x:f>
        <x:v>0</x:v>
      </x:c>
      <x:c r="H22" s="10" t="n">
        <x:f>E22-SUMIFS(E$5:E$79,$A$5:$A$79,$A22,$B$5:$B$79,$B22,$C$5:$C$79,"双分支固定")</x:f>
        <x:v>0.00033672974088483354</x:v>
      </x:c>
      <x:c r="I22" s="10" t="n">
        <x:f>F22-SUMIFS(F$5:F$79,$A$5:$A$79,$A22,$B$5:$B$79,$B22,$C$5:$C$79,"双分支固定")</x:f>
        <x:v>0.00045886831147312623</x:v>
      </x:c>
      <x:c r="J22" s="10" t="n">
        <x:f>D22-SUMIFS(D$5:D$79,$A$5:$A$79,$A22,$B$5:$B$79,$B22,$C$5:$C$79,"原始单库")</x:f>
        <x:v>0</x:v>
      </x:c>
      <x:c r="K22" s="10" t="n">
        <x:f>E22-SUMIFS(E$5:E$79,$A$5:$A$79,$A22,$B$5:$B$79,$B22,$C$5:$C$79,"原始单库")</x:f>
        <x:v>-0.0022189628955275875</x:v>
      </x:c>
      <x:c r="L22" s="10" t="n">
        <x:f>F22-SUMIFS(F$5:F$79,$A$5:$A$79,$A22,$B$5:$B$79,$B22,$C$5:$C$79,"原始单库")</x:f>
        <x:v>-0.0030265740642961836</x:v>
      </x:c>
    </x:row>
    <x:row r="23" ht="22" customHeight="1">
      <x:c r="A23" s="2" t="str">
        <x:v>bottle</x:v>
      </x:c>
      <x:c r="B23" s="2" t="n">
        <x:v>3</x:v>
      </x:c>
      <x:c r="C23" s="2" t="str">
        <x:v>像素敏感性</x:v>
      </x:c>
      <x:c r="D23" s="9" t="n">
        <x:v>1</x:v>
      </x:c>
      <x:c r="E23" s="9" t="n">
        <x:v>0.9826152041483724</x:v>
      </x:c>
      <x:c r="F23" s="9" t="n">
        <x:v>0.9765759954627051</x:v>
      </x:c>
      <x:c r="G23" s="10" t="n">
        <x:f>D23-SUMIFS(D$5:D$79,$A$5:$A$79,$A23,$B$5:$B$79,$B23,$C$5:$C$79,"双分支固定")</x:f>
        <x:v>0</x:v>
      </x:c>
      <x:c r="H23" s="10" t="n">
        <x:f>E23-SUMIFS(E$5:E$79,$A$5:$A$79,$A23,$B$5:$B$79,$B23,$C$5:$C$79,"双分支固定")</x:f>
        <x:v>0.0010945344731884132</x:v>
      </x:c>
      <x:c r="I23" s="10" t="n">
        <x:f>F23-SUMIFS(F$5:F$79,$A$5:$A$79,$A23,$B$5:$B$79,$B23,$C$5:$C$79,"双分支固定")</x:f>
        <x:v>0.001504776447218581</x:v>
      </x:c>
      <x:c r="J23" s="10" t="n">
        <x:f>D23-SUMIFS(D$5:D$79,$A$5:$A$79,$A23,$B$5:$B$79,$B23,$C$5:$C$79,"原始单库")</x:f>
        <x:v>0</x:v>
      </x:c>
      <x:c r="K23" s="10" t="n">
        <x:f>E23-SUMIFS(E$5:E$79,$A$5:$A$79,$A23,$B$5:$B$79,$B23,$C$5:$C$79,"原始单库")</x:f>
        <x:v>-0.0014611581632240078</x:v>
      </x:c>
      <x:c r="L23" s="10" t="n">
        <x:f>F23-SUMIFS(F$5:F$79,$A$5:$A$79,$A23,$B$5:$B$79,$B23,$C$5:$C$79,"原始单库")</x:f>
        <x:v>-0.001980665928550729</x:v>
      </x:c>
    </x:row>
    <x:row r="24" ht="22" customHeight="1">
      <x:c r="A24" s="2" t="str">
        <x:v>bottle</x:v>
      </x:c>
      <x:c r="B24" s="2" t="n">
        <x:v>3</x:v>
      </x:c>
      <x:c r="C24" s="2" t="str">
        <x:v>收缩0.25</x:v>
      </x:c>
      <x:c r="D24" s="9" t="n">
        <x:v>1</x:v>
      </x:c>
      <x:c r="E24" s="9" t="n">
        <x:v>0.9818573994160689</x:v>
      </x:c>
      <x:c r="F24" s="9" t="n">
        <x:v>0.9755300873269597</x:v>
      </x:c>
      <x:c r="G24" s="10" t="n">
        <x:f>D24-SUMIFS(D$5:D$79,$A$5:$A$79,$A24,$B$5:$B$79,$B24,$C$5:$C$79,"双分支固定")</x:f>
        <x:v>0</x:v>
      </x:c>
      <x:c r="H24" s="10" t="n">
        <x:f>E24-SUMIFS(E$5:E$79,$A$5:$A$79,$A24,$B$5:$B$79,$B24,$C$5:$C$79,"双分支固定")</x:f>
        <x:v>0.00033672974088483354</x:v>
      </x:c>
      <x:c r="I24" s="10" t="n">
        <x:f>F24-SUMIFS(F$5:F$79,$A$5:$A$79,$A24,$B$5:$B$79,$B24,$C$5:$C$79,"双分支固定")</x:f>
        <x:v>0.00045886831147312623</x:v>
      </x:c>
      <x:c r="J24" s="10" t="n">
        <x:f>D24-SUMIFS(D$5:D$79,$A$5:$A$79,$A24,$B$5:$B$79,$B24,$C$5:$C$79,"原始单库")</x:f>
        <x:v>0</x:v>
      </x:c>
      <x:c r="K24" s="10" t="n">
        <x:f>E24-SUMIFS(E$5:E$79,$A$5:$A$79,$A24,$B$5:$B$79,$B24,$C$5:$C$79,"原始单库")</x:f>
        <x:v>-0.0022189628955275875</x:v>
      </x:c>
      <x:c r="L24" s="10" t="n">
        <x:f>F24-SUMIFS(F$5:F$79,$A$5:$A$79,$A24,$B$5:$B$79,$B24,$C$5:$C$79,"原始单库")</x:f>
        <x:v>-0.0030265740642961836</x:v>
      </x:c>
    </x:row>
    <x:row r="25" ht="22" customHeight="1">
      <x:c r="A25" s="2" t="str">
        <x:v>bottle</x:v>
      </x:c>
      <x:c r="B25" s="2" t="n">
        <x:v>4</x:v>
      </x:c>
      <x:c r="C25" s="2" t="str">
        <x:v>原始单库</x:v>
      </x:c>
      <x:c r="D25" s="9" t="n">
        <x:v>1</x:v>
      </x:c>
      <x:c r="E25" s="9" t="n">
        <x:v>0.9842021500023005</x:v>
      </x:c>
      <x:c r="F25" s="9" t="n">
        <x:v>0.9787550373012455</x:v>
      </x:c>
      <x:c r="G25" s="10" t="n">
        <x:f>D25-SUMIFS(D$5:D$79,$A$5:$A$79,$A25,$B$5:$B$79,$B25,$C$5:$C$79,"双分支固定")</x:f>
        <x:v>0</x:v>
      </x:c>
      <x:c r="H25" s="10" t="n">
        <x:f>E25-SUMIFS(E$5:E$79,$A$5:$A$79,$A25,$B$5:$B$79,$B25,$C$5:$C$79,"双分支固定")</x:f>
        <x:v>0.002613110029648369</x:v>
      </x:c>
      <x:c r="I25" s="10" t="n">
        <x:f>F25-SUMIFS(F$5:F$79,$A$5:$A$79,$A25,$B$5:$B$79,$B25,$C$5:$C$79,"双分支固定")</x:f>
        <x:v>0.003588638581545789</x:v>
      </x:c>
      <x:c r="J25" s="10" t="n">
        <x:f>D25-SUMIFS(D$5:D$79,$A$5:$A$79,$A25,$B$5:$B$79,$B25,$C$5:$C$79,"原始单库")</x:f>
        <x:v>0</x:v>
      </x:c>
      <x:c r="K25" s="10" t="n">
        <x:f>E25-SUMIFS(E$5:E$79,$A$5:$A$79,$A25,$B$5:$B$79,$B25,$C$5:$C$79,"原始单库")</x:f>
        <x:v>0</x:v>
      </x:c>
      <x:c r="L25" s="10" t="n">
        <x:f>F25-SUMIFS(F$5:F$79,$A$5:$A$79,$A25,$B$5:$B$79,$B25,$C$5:$C$79,"原始单库")</x:f>
        <x:v>0</x:v>
      </x:c>
    </x:row>
    <x:row r="26" ht="22" customHeight="1">
      <x:c r="A26" s="2" t="str">
        <x:v>bottle</x:v>
      </x:c>
      <x:c r="B26" s="2" t="n">
        <x:v>4</x:v>
      </x:c>
      <x:c r="C26" s="2" t="str">
        <x:v>双分支固定</x:v>
      </x:c>
      <x:c r="D26" s="9" t="n">
        <x:v>1</x:v>
      </x:c>
      <x:c r="E26" s="9" t="n">
        <x:v>0.9815890399726521</x:v>
      </x:c>
      <x:c r="F26" s="9" t="n">
        <x:v>0.9751663987196997</x:v>
      </x:c>
      <x:c r="G26" s="10" t="n">
        <x:f>D26-SUMIFS(D$5:D$79,$A$5:$A$79,$A26,$B$5:$B$79,$B26,$C$5:$C$79,"双分支固定")</x:f>
        <x:v>0</x:v>
      </x:c>
      <x:c r="H26" s="10" t="n">
        <x:f>E26-SUMIFS(E$5:E$79,$A$5:$A$79,$A26,$B$5:$B$79,$B26,$C$5:$C$79,"双分支固定")</x:f>
        <x:v>0</x:v>
      </x:c>
      <x:c r="I26" s="10" t="n">
        <x:f>F26-SUMIFS(F$5:F$79,$A$5:$A$79,$A26,$B$5:$B$79,$B26,$C$5:$C$79,"双分支固定")</x:f>
        <x:v>0</x:v>
      </x:c>
      <x:c r="J26" s="10" t="n">
        <x:f>D26-SUMIFS(D$5:D$79,$A$5:$A$79,$A26,$B$5:$B$79,$B26,$C$5:$C$79,"原始单库")</x:f>
        <x:v>0</x:v>
      </x:c>
      <x:c r="K26" s="10" t="n">
        <x:f>E26-SUMIFS(E$5:E$79,$A$5:$A$79,$A26,$B$5:$B$79,$B26,$C$5:$C$79,"原始单库")</x:f>
        <x:v>-0.002613110029648369</x:v>
      </x:c>
      <x:c r="L26" s="10" t="n">
        <x:f>F26-SUMIFS(F$5:F$79,$A$5:$A$79,$A26,$B$5:$B$79,$B26,$C$5:$C$79,"原始单库")</x:f>
        <x:v>-0.003588638581545789</x:v>
      </x:c>
    </x:row>
    <x:row r="27" ht="22" customHeight="1">
      <x:c r="A27" s="2" t="str">
        <x:v>bottle</x:v>
      </x:c>
      <x:c r="B27" s="2" t="n">
        <x:v>4</x:v>
      </x:c>
      <x:c r="C27" s="2" t="str">
        <x:v>门控加收缩</x:v>
      </x:c>
      <x:c r="D27" s="9" t="n">
        <x:v>1</x:v>
      </x:c>
      <x:c r="E27" s="9" t="n">
        <x:v>0.9820161263981528</x:v>
      </x:c>
      <x:c r="F27" s="9" t="n">
        <x:v>0.9757522372228796</x:v>
      </x:c>
      <x:c r="G27" s="10" t="n">
        <x:f>D27-SUMIFS(D$5:D$79,$A$5:$A$79,$A27,$B$5:$B$79,$B27,$C$5:$C$79,"双分支固定")</x:f>
        <x:v>0</x:v>
      </x:c>
      <x:c r="H27" s="10" t="n">
        <x:f>E27-SUMIFS(E$5:E$79,$A$5:$A$79,$A27,$B$5:$B$79,$B27,$C$5:$C$79,"双分支固定")</x:f>
        <x:v>0.0004270864255007112</x:v>
      </x:c>
      <x:c r="I27" s="10" t="n">
        <x:f>F27-SUMIFS(F$5:F$79,$A$5:$A$79,$A27,$B$5:$B$79,$B27,$C$5:$C$79,"双分支固定")</x:f>
        <x:v>0.0005858385031799473</x:v>
      </x:c>
      <x:c r="J27" s="10" t="n">
        <x:f>D27-SUMIFS(D$5:D$79,$A$5:$A$79,$A27,$B$5:$B$79,$B27,$C$5:$C$79,"原始单库")</x:f>
        <x:v>0</x:v>
      </x:c>
      <x:c r="K27" s="10" t="n">
        <x:f>E27-SUMIFS(E$5:E$79,$A$5:$A$79,$A27,$B$5:$B$79,$B27,$C$5:$C$79,"原始单库")</x:f>
        <x:v>-0.0021860236041476577</x:v>
      </x:c>
      <x:c r="L27" s="10" t="n">
        <x:f>F27-SUMIFS(F$5:F$79,$A$5:$A$79,$A27,$B$5:$B$79,$B27,$C$5:$C$79,"原始单库")</x:f>
        <x:v>-0.0030028000783658415</x:v>
      </x:c>
    </x:row>
    <x:row r="28" ht="22" customHeight="1">
      <x:c r="A28" s="2" t="str">
        <x:v>bottle</x:v>
      </x:c>
      <x:c r="B28" s="2" t="n">
        <x:v>4</x:v>
      </x:c>
      <x:c r="C28" s="2" t="str">
        <x:v>像素敏感性</x:v>
      </x:c>
      <x:c r="D28" s="9" t="n">
        <x:v>1</x:v>
      </x:c>
      <x:c r="E28" s="9" t="n">
        <x:v>0.9827605695214392</x:v>
      </x:c>
      <x:c r="F28" s="9" t="n">
        <x:v>0.9768191023332614</x:v>
      </x:c>
      <x:c r="G28" s="10" t="n">
        <x:f>D28-SUMIFS(D$5:D$79,$A$5:$A$79,$A28,$B$5:$B$79,$B28,$C$5:$C$79,"双分支固定")</x:f>
        <x:v>0</x:v>
      </x:c>
      <x:c r="H28" s="10" t="n">
        <x:f>E28-SUMIFS(E$5:E$79,$A$5:$A$79,$A28,$B$5:$B$79,$B28,$C$5:$C$79,"双分支固定")</x:f>
        <x:v>0.0011715295487870758</x:v>
      </x:c>
      <x:c r="I28" s="10" t="n">
        <x:f>F28-SUMIFS(F$5:F$79,$A$5:$A$79,$A28,$B$5:$B$79,$B28,$C$5:$C$79,"双分支固定")</x:f>
        <x:v>0.0016527036135617346</x:v>
      </x:c>
      <x:c r="J28" s="10" t="n">
        <x:f>D28-SUMIFS(D$5:D$79,$A$5:$A$79,$A28,$B$5:$B$79,$B28,$C$5:$C$79,"原始单库")</x:f>
        <x:v>0</x:v>
      </x:c>
      <x:c r="K28" s="10" t="n">
        <x:f>E28-SUMIFS(E$5:E$79,$A$5:$A$79,$A28,$B$5:$B$79,$B28,$C$5:$C$79,"原始单库")</x:f>
        <x:v>-0.001441580480861293</x:v>
      </x:c>
      <x:c r="L28" s="10" t="n">
        <x:f>F28-SUMIFS(F$5:F$79,$A$5:$A$79,$A28,$B$5:$B$79,$B28,$C$5:$C$79,"原始单库")</x:f>
        <x:v>-0.0019359349679840543</x:v>
      </x:c>
    </x:row>
    <x:row r="29" ht="22" customHeight="1">
      <x:c r="A29" s="2" t="str">
        <x:v>bottle</x:v>
      </x:c>
      <x:c r="B29" s="2" t="n">
        <x:v>4</x:v>
      </x:c>
      <x:c r="C29" s="2" t="str">
        <x:v>收缩0.25</x:v>
      </x:c>
      <x:c r="D29" s="9" t="n">
        <x:v>1</x:v>
      </x:c>
      <x:c r="E29" s="9" t="n">
        <x:v>0.9820161263981528</x:v>
      </x:c>
      <x:c r="F29" s="9" t="n">
        <x:v>0.9757522372228796</x:v>
      </x:c>
      <x:c r="G29" s="10" t="n">
        <x:f>D29-SUMIFS(D$5:D$79,$A$5:$A$79,$A29,$B$5:$B$79,$B29,$C$5:$C$79,"双分支固定")</x:f>
        <x:v>0</x:v>
      </x:c>
      <x:c r="H29" s="10" t="n">
        <x:f>E29-SUMIFS(E$5:E$79,$A$5:$A$79,$A29,$B$5:$B$79,$B29,$C$5:$C$79,"双分支固定")</x:f>
        <x:v>0.0004270864255007112</x:v>
      </x:c>
      <x:c r="I29" s="10" t="n">
        <x:f>F29-SUMIFS(F$5:F$79,$A$5:$A$79,$A29,$B$5:$B$79,$B29,$C$5:$C$79,"双分支固定")</x:f>
        <x:v>0.0005858385031799473</x:v>
      </x:c>
      <x:c r="J29" s="10" t="n">
        <x:f>D29-SUMIFS(D$5:D$79,$A$5:$A$79,$A29,$B$5:$B$79,$B29,$C$5:$C$79,"原始单库")</x:f>
        <x:v>0</x:v>
      </x:c>
      <x:c r="K29" s="10" t="n">
        <x:f>E29-SUMIFS(E$5:E$79,$A$5:$A$79,$A29,$B$5:$B$79,$B29,$C$5:$C$79,"原始单库")</x:f>
        <x:v>-0.0021860236041476577</x:v>
      </x:c>
      <x:c r="L29" s="10" t="n">
        <x:f>F29-SUMIFS(F$5:F$79,$A$5:$A$79,$A29,$B$5:$B$79,$B29,$C$5:$C$79,"原始单库")</x:f>
        <x:v>-0.0030028000783658415</x:v>
      </x:c>
    </x:row>
    <x:row r="30" ht="22" customHeight="1">
      <x:c r="A30" s="2" t="str">
        <x:v>pill</x:v>
      </x:c>
      <x:c r="B30" s="2" t="n">
        <x:v>0</x:v>
      </x:c>
      <x:c r="C30" s="2" t="str">
        <x:v>原始单库</x:v>
      </x:c>
      <x:c r="D30" s="9" t="n">
        <x:v>0.9768139661756683</x:v>
      </x:c>
      <x:c r="E30" s="9" t="n">
        <x:v>0.9732621917382184</x:v>
      </x:c>
      <x:c r="F30" s="9" t="n">
        <x:v>0.9714377299109718</x:v>
      </x:c>
      <x:c r="G30" s="10" t="n">
        <x:f>D30-SUMIFS(D$5:D$79,$A$5:$A$79,$A30,$B$5:$B$79,$B30,$C$5:$C$79,"双分支固定")</x:f>
        <x:v>0.01445717403164215</x:v>
      </x:c>
      <x:c r="H30" s="10" t="n">
        <x:f>E30-SUMIFS(E$5:E$79,$A$5:$A$79,$A30,$B$5:$B$79,$B30,$C$5:$C$79,"双分支固定")</x:f>
        <x:v>-0.004886439979245427</x:v>
      </x:c>
      <x:c r="I30" s="10" t="n">
        <x:f>F30-SUMIFS(F$5:F$79,$A$5:$A$79,$A30,$B$5:$B$79,$B30,$C$5:$C$79,"双分支固定")</x:f>
        <x:v>-0.004876425213981683</x:v>
      </x:c>
      <x:c r="J30" s="10" t="n">
        <x:f>D30-SUMIFS(D$5:D$79,$A$5:$A$79,$A30,$B$5:$B$79,$B30,$C$5:$C$79,"原始单库")</x:f>
        <x:v>0</x:v>
      </x:c>
      <x:c r="K30" s="10" t="n">
        <x:f>E30-SUMIFS(E$5:E$79,$A$5:$A$79,$A30,$B$5:$B$79,$B30,$C$5:$C$79,"原始单库")</x:f>
        <x:v>0</x:v>
      </x:c>
      <x:c r="L30" s="10" t="n">
        <x:f>F30-SUMIFS(F$5:F$79,$A$5:$A$79,$A30,$B$5:$B$79,$B30,$C$5:$C$79,"原始单库")</x:f>
        <x:v>0</x:v>
      </x:c>
    </x:row>
    <x:row r="31" ht="22" customHeight="1">
      <x:c r="A31" s="2" t="str">
        <x:v>pill</x:v>
      </x:c>
      <x:c r="B31" s="2" t="n">
        <x:v>0</x:v>
      </x:c>
      <x:c r="C31" s="2" t="str">
        <x:v>双分支固定</x:v>
      </x:c>
      <x:c r="D31" s="9" t="n">
        <x:v>0.9623567921440261</x:v>
      </x:c>
      <x:c r="E31" s="9" t="n">
        <x:v>0.9781486317174638</x:v>
      </x:c>
      <x:c r="F31" s="9" t="n">
        <x:v>0.9763141551249535</x:v>
      </x:c>
      <x:c r="G31" s="10" t="n">
        <x:f>D31-SUMIFS(D$5:D$79,$A$5:$A$79,$A31,$B$5:$B$79,$B31,$C$5:$C$79,"双分支固定")</x:f>
        <x:v>0</x:v>
      </x:c>
      <x:c r="H31" s="10" t="n">
        <x:f>E31-SUMIFS(E$5:E$79,$A$5:$A$79,$A31,$B$5:$B$79,$B31,$C$5:$C$79,"双分支固定")</x:f>
        <x:v>0</x:v>
      </x:c>
      <x:c r="I31" s="10" t="n">
        <x:f>F31-SUMIFS(F$5:F$79,$A$5:$A$79,$A31,$B$5:$B$79,$B31,$C$5:$C$79,"双分支固定")</x:f>
        <x:v>0</x:v>
      </x:c>
      <x:c r="J31" s="10" t="n">
        <x:f>D31-SUMIFS(D$5:D$79,$A$5:$A$79,$A31,$B$5:$B$79,$B31,$C$5:$C$79,"原始单库")</x:f>
        <x:v>-0.01445717403164215</x:v>
      </x:c>
      <x:c r="K31" s="10" t="n">
        <x:f>E31-SUMIFS(E$5:E$79,$A$5:$A$79,$A31,$B$5:$B$79,$B31,$C$5:$C$79,"原始单库")</x:f>
        <x:v>0.004886439979245427</x:v>
      </x:c>
      <x:c r="L31" s="10" t="n">
        <x:f>F31-SUMIFS(F$5:F$79,$A$5:$A$79,$A31,$B$5:$B$79,$B31,$C$5:$C$79,"原始单库")</x:f>
        <x:v>0.004876425213981683</x:v>
      </x:c>
    </x:row>
    <x:row r="32" ht="22" customHeight="1">
      <x:c r="A32" s="2" t="str">
        <x:v>pill</x:v>
      </x:c>
      <x:c r="B32" s="2" t="n">
        <x:v>0</x:v>
      </x:c>
      <x:c r="C32" s="2" t="str">
        <x:v>门控加收缩</x:v>
      </x:c>
      <x:c r="D32" s="9" t="n">
        <x:v>0.9623567921440261</x:v>
      </x:c>
      <x:c r="E32" s="9" t="n">
        <x:v>0.9781486317174638</x:v>
      </x:c>
      <x:c r="F32" s="9" t="n">
        <x:v>0.9763141551249535</x:v>
      </x:c>
      <x:c r="G32" s="10" t="n">
        <x:f>D32-SUMIFS(D$5:D$79,$A$5:$A$79,$A32,$B$5:$B$79,$B32,$C$5:$C$79,"双分支固定")</x:f>
        <x:v>0</x:v>
      </x:c>
      <x:c r="H32" s="10" t="n">
        <x:f>E32-SUMIFS(E$5:E$79,$A$5:$A$79,$A32,$B$5:$B$79,$B32,$C$5:$C$79,"双分支固定")</x:f>
        <x:v>0</x:v>
      </x:c>
      <x:c r="I32" s="10" t="n">
        <x:f>F32-SUMIFS(F$5:F$79,$A$5:$A$79,$A32,$B$5:$B$79,$B32,$C$5:$C$79,"双分支固定")</x:f>
        <x:v>0</x:v>
      </x:c>
      <x:c r="J32" s="10" t="n">
        <x:f>D32-SUMIFS(D$5:D$79,$A$5:$A$79,$A32,$B$5:$B$79,$B32,$C$5:$C$79,"原始单库")</x:f>
        <x:v>-0.01445717403164215</x:v>
      </x:c>
      <x:c r="K32" s="10" t="n">
        <x:f>E32-SUMIFS(E$5:E$79,$A$5:$A$79,$A32,$B$5:$B$79,$B32,$C$5:$C$79,"原始单库")</x:f>
        <x:v>0.004886439979245427</x:v>
      </x:c>
      <x:c r="L32" s="10" t="n">
        <x:f>F32-SUMIFS(F$5:F$79,$A$5:$A$79,$A32,$B$5:$B$79,$B32,$C$5:$C$79,"原始单库")</x:f>
        <x:v>0.004876425213981683</x:v>
      </x:c>
    </x:row>
    <x:row r="33" ht="22" customHeight="1">
      <x:c r="A33" s="2" t="str">
        <x:v>pill</x:v>
      </x:c>
      <x:c r="B33" s="2" t="n">
        <x:v>0</x:v>
      </x:c>
      <x:c r="C33" s="2" t="str">
        <x:v>像素敏感性</x:v>
      </x:c>
      <x:c r="D33" s="9" t="n">
        <x:v>0.9623567921440261</x:v>
      </x:c>
      <x:c r="E33" s="9" t="n">
        <x:v>0.975359335927792</x:v>
      </x:c>
      <x:c r="F33" s="9" t="n">
        <x:v>0.973483025462872</x:v>
      </x:c>
      <x:c r="G33" s="10" t="n">
        <x:f>D33-SUMIFS(D$5:D$79,$A$5:$A$79,$A33,$B$5:$B$79,$B33,$C$5:$C$79,"双分支固定")</x:f>
        <x:v>0</x:v>
      </x:c>
      <x:c r="H33" s="10" t="n">
        <x:f>E33-SUMIFS(E$5:E$79,$A$5:$A$79,$A33,$B$5:$B$79,$B33,$C$5:$C$79,"双分支固定")</x:f>
        <x:v>-0.0027892957896717974</x:v>
      </x:c>
      <x:c r="I33" s="10" t="n">
        <x:f>F33-SUMIFS(F$5:F$79,$A$5:$A$79,$A33,$B$5:$B$79,$B33,$C$5:$C$79,"双分支固定")</x:f>
        <x:v>-0.002831129662081433</x:v>
      </x:c>
      <x:c r="J33" s="10" t="n">
        <x:f>D33-SUMIFS(D$5:D$79,$A$5:$A$79,$A33,$B$5:$B$79,$B33,$C$5:$C$79,"原始单库")</x:f>
        <x:v>-0.01445717403164215</x:v>
      </x:c>
      <x:c r="K33" s="10" t="n">
        <x:f>E33-SUMIFS(E$5:E$79,$A$5:$A$79,$A33,$B$5:$B$79,$B33,$C$5:$C$79,"原始单库")</x:f>
        <x:v>0.00209714418957363</x:v>
      </x:c>
      <x:c r="L33" s="10" t="n">
        <x:f>F33-SUMIFS(F$5:F$79,$A$5:$A$79,$A33,$B$5:$B$79,$B33,$C$5:$C$79,"原始单库")</x:f>
        <x:v>0.0020452955519002503</x:v>
      </x:c>
    </x:row>
    <x:row r="34" ht="22" customHeight="1">
      <x:c r="A34" s="2" t="str">
        <x:v>pill</x:v>
      </x:c>
      <x:c r="B34" s="2" t="n">
        <x:v>0</x:v>
      </x:c>
      <x:c r="C34" s="2" t="str">
        <x:v>收缩0.25</x:v>
      </x:c>
      <x:c r="D34" s="9" t="n">
        <x:v>0.9623567921440261</x:v>
      </x:c>
      <x:c r="E34" s="9" t="n">
        <x:v>0.9776717753429639</x:v>
      </x:c>
      <x:c r="F34" s="9" t="n">
        <x:v>0.9758335172261949</x:v>
      </x:c>
      <x:c r="G34" s="10" t="n">
        <x:f>D34-SUMIFS(D$5:D$79,$A$5:$A$79,$A34,$B$5:$B$79,$B34,$C$5:$C$79,"双分支固定")</x:f>
        <x:v>0</x:v>
      </x:c>
      <x:c r="H34" s="10" t="n">
        <x:f>E34-SUMIFS(E$5:E$79,$A$5:$A$79,$A34,$B$5:$B$79,$B34,$C$5:$C$79,"双分支固定")</x:f>
        <x:v>-0.00047685637449990104</x:v>
      </x:c>
      <x:c r="I34" s="10" t="n">
        <x:f>F34-SUMIFS(F$5:F$79,$A$5:$A$79,$A34,$B$5:$B$79,$B34,$C$5:$C$79,"双分支固定")</x:f>
        <x:v>-0.00048063789875851803</x:v>
      </x:c>
      <x:c r="J34" s="10" t="n">
        <x:f>D34-SUMIFS(D$5:D$79,$A$5:$A$79,$A34,$B$5:$B$79,$B34,$C$5:$C$79,"原始单库")</x:f>
        <x:v>-0.01445717403164215</x:v>
      </x:c>
      <x:c r="K34" s="10" t="n">
        <x:f>E34-SUMIFS(E$5:E$79,$A$5:$A$79,$A34,$B$5:$B$79,$B34,$C$5:$C$79,"原始单库")</x:f>
        <x:v>0.004409583604745526</x:v>
      </x:c>
      <x:c r="L34" s="10" t="n">
        <x:f>F34-SUMIFS(F$5:F$79,$A$5:$A$79,$A34,$B$5:$B$79,$B34,$C$5:$C$79,"原始单库")</x:f>
        <x:v>0.004395787315223165</x:v>
      </x:c>
    </x:row>
    <x:row r="35" ht="22" customHeight="1">
      <x:c r="A35" s="2" t="str">
        <x:v>pill</x:v>
      </x:c>
      <x:c r="B35" s="2" t="n">
        <x:v>1</x:v>
      </x:c>
      <x:c r="C35" s="2" t="str">
        <x:v>原始单库</x:v>
      </x:c>
      <x:c r="D35" s="9" t="n">
        <x:v>0.9746317512274959</x:v>
      </x:c>
      <x:c r="E35" s="9" t="n">
        <x:v>0.9755339451476809</x:v>
      </x:c>
      <x:c r="F35" s="9" t="n">
        <x:v>0.9737561826840162</x:v>
      </x:c>
      <x:c r="G35" s="10" t="n">
        <x:f>D35-SUMIFS(D$5:D$79,$A$5:$A$79,$A35,$B$5:$B$79,$B35,$C$5:$C$79,"双分支固定")</x:f>
        <x:v>0</x:v>
      </x:c>
      <x:c r="H35" s="10" t="n">
        <x:f>E35-SUMIFS(E$5:E$79,$A$5:$A$79,$A35,$B$5:$B$79,$B35,$C$5:$C$79,"双分支固定")</x:f>
        <x:v>-0.004360725591679437</x:v>
      </x:c>
      <x:c r="I35" s="10" t="n">
        <x:f>F35-SUMIFS(F$5:F$79,$A$5:$A$79,$A35,$B$5:$B$79,$B35,$C$5:$C$79,"双分支固定")</x:f>
        <x:v>-0.004372843422632666</x:v>
      </x:c>
      <x:c r="J35" s="10" t="n">
        <x:f>D35-SUMIFS(D$5:D$79,$A$5:$A$79,$A35,$B$5:$B$79,$B35,$C$5:$C$79,"原始单库")</x:f>
        <x:v>0</x:v>
      </x:c>
      <x:c r="K35" s="10" t="n">
        <x:f>E35-SUMIFS(E$5:E$79,$A$5:$A$79,$A35,$B$5:$B$79,$B35,$C$5:$C$79,"原始单库")</x:f>
        <x:v>0</x:v>
      </x:c>
      <x:c r="L35" s="10" t="n">
        <x:f>F35-SUMIFS(F$5:F$79,$A$5:$A$79,$A35,$B$5:$B$79,$B35,$C$5:$C$79,"原始单库")</x:f>
        <x:v>0</x:v>
      </x:c>
    </x:row>
    <x:row r="36" ht="22" customHeight="1">
      <x:c r="A36" s="2" t="str">
        <x:v>pill</x:v>
      </x:c>
      <x:c r="B36" s="2" t="n">
        <x:v>1</x:v>
      </x:c>
      <x:c r="C36" s="2" t="str">
        <x:v>双分支固定</x:v>
      </x:c>
      <x:c r="D36" s="9" t="n">
        <x:v>0.9746317512274959</x:v>
      </x:c>
      <x:c r="E36" s="9" t="n">
        <x:v>0.9798946707393603</x:v>
      </x:c>
      <x:c r="F36" s="9" t="n">
        <x:v>0.9781290261066489</x:v>
      </x:c>
      <x:c r="G36" s="10" t="n">
        <x:f>D36-SUMIFS(D$5:D$79,$A$5:$A$79,$A36,$B$5:$B$79,$B36,$C$5:$C$79,"双分支固定")</x:f>
        <x:v>0</x:v>
      </x:c>
      <x:c r="H36" s="10" t="n">
        <x:f>E36-SUMIFS(E$5:E$79,$A$5:$A$79,$A36,$B$5:$B$79,$B36,$C$5:$C$79,"双分支固定")</x:f>
        <x:v>0</x:v>
      </x:c>
      <x:c r="I36" s="10" t="n">
        <x:f>F36-SUMIFS(F$5:F$79,$A$5:$A$79,$A36,$B$5:$B$79,$B36,$C$5:$C$79,"双分支固定")</x:f>
        <x:v>0</x:v>
      </x:c>
      <x:c r="J36" s="10" t="n">
        <x:f>D36-SUMIFS(D$5:D$79,$A$5:$A$79,$A36,$B$5:$B$79,$B36,$C$5:$C$79,"原始单库")</x:f>
        <x:v>0</x:v>
      </x:c>
      <x:c r="K36" s="10" t="n">
        <x:f>E36-SUMIFS(E$5:E$79,$A$5:$A$79,$A36,$B$5:$B$79,$B36,$C$5:$C$79,"原始单库")</x:f>
        <x:v>0.004360725591679437</x:v>
      </x:c>
      <x:c r="L36" s="10" t="n">
        <x:f>F36-SUMIFS(F$5:F$79,$A$5:$A$79,$A36,$B$5:$B$79,$B36,$C$5:$C$79,"原始单库")</x:f>
        <x:v>0.004372843422632666</x:v>
      </x:c>
    </x:row>
    <x:row r="37" ht="22" customHeight="1">
      <x:c r="A37" s="2" t="str">
        <x:v>pill</x:v>
      </x:c>
      <x:c r="B37" s="2" t="n">
        <x:v>1</x:v>
      </x:c>
      <x:c r="C37" s="2" t="str">
        <x:v>门控加收缩</x:v>
      </x:c>
      <x:c r="D37" s="9" t="n">
        <x:v>0.9746317512274959</x:v>
      </x:c>
      <x:c r="E37" s="9" t="n">
        <x:v>0.9792355065004457</x:v>
      </x:c>
      <x:c r="F37" s="9" t="n">
        <x:v>0.9774603325555501</x:v>
      </x:c>
      <x:c r="G37" s="10" t="n">
        <x:f>D37-SUMIFS(D$5:D$79,$A$5:$A$79,$A37,$B$5:$B$79,$B37,$C$5:$C$79,"双分支固定")</x:f>
        <x:v>0</x:v>
      </x:c>
      <x:c r="H37" s="10" t="n">
        <x:f>E37-SUMIFS(E$5:E$79,$A$5:$A$79,$A37,$B$5:$B$79,$B37,$C$5:$C$79,"双分支固定")</x:f>
        <x:v>-0.0006591642389146557</x:v>
      </x:c>
      <x:c r="I37" s="10" t="n">
        <x:f>F37-SUMIFS(F$5:F$79,$A$5:$A$79,$A37,$B$5:$B$79,$B37,$C$5:$C$79,"双分支固定")</x:f>
        <x:v>-0.0006686935510987757</x:v>
      </x:c>
      <x:c r="J37" s="10" t="n">
        <x:f>D37-SUMIFS(D$5:D$79,$A$5:$A$79,$A37,$B$5:$B$79,$B37,$C$5:$C$79,"原始单库")</x:f>
        <x:v>0</x:v>
      </x:c>
      <x:c r="K37" s="10" t="n">
        <x:f>E37-SUMIFS(E$5:E$79,$A$5:$A$79,$A37,$B$5:$B$79,$B37,$C$5:$C$79,"原始单库")</x:f>
        <x:v>0.0037015613527647817</x:v>
      </x:c>
      <x:c r="L37" s="10" t="n">
        <x:f>F37-SUMIFS(F$5:F$79,$A$5:$A$79,$A37,$B$5:$B$79,$B37,$C$5:$C$79,"原始单库")</x:f>
        <x:v>0.0037041498715338905</x:v>
      </x:c>
    </x:row>
    <x:row r="38" ht="22" customHeight="1">
      <x:c r="A38" s="2" t="str">
        <x:v>pill</x:v>
      </x:c>
      <x:c r="B38" s="2" t="n">
        <x:v>1</x:v>
      </x:c>
      <x:c r="C38" s="2" t="str">
        <x:v>像素敏感性</x:v>
      </x:c>
      <x:c r="D38" s="9" t="n">
        <x:v>0.9746317512274959</x:v>
      </x:c>
      <x:c r="E38" s="9" t="n">
        <x:v>0.9761673795503905</x:v>
      </x:c>
      <x:c r="F38" s="9" t="n">
        <x:v>0.9743227225032568</x:v>
      </x:c>
      <x:c r="G38" s="10" t="n">
        <x:f>D38-SUMIFS(D$5:D$79,$A$5:$A$79,$A38,$B$5:$B$79,$B38,$C$5:$C$79,"双分支固定")</x:f>
        <x:v>0</x:v>
      </x:c>
      <x:c r="H38" s="10" t="n">
        <x:f>E38-SUMIFS(E$5:E$79,$A$5:$A$79,$A38,$B$5:$B$79,$B38,$C$5:$C$79,"双分支固定")</x:f>
        <x:v>-0.0037272911889698612</x:v>
      </x:c>
      <x:c r="I38" s="10" t="n">
        <x:f>F38-SUMIFS(F$5:F$79,$A$5:$A$79,$A38,$B$5:$B$79,$B38,$C$5:$C$79,"双分支固定")</x:f>
        <x:v>-0.0038063036033920694</x:v>
      </x:c>
      <x:c r="J38" s="10" t="n">
        <x:f>D38-SUMIFS(D$5:D$79,$A$5:$A$79,$A38,$B$5:$B$79,$B38,$C$5:$C$79,"原始单库")</x:f>
        <x:v>0</x:v>
      </x:c>
      <x:c r="K38" s="10" t="n">
        <x:f>E38-SUMIFS(E$5:E$79,$A$5:$A$79,$A38,$B$5:$B$79,$B38,$C$5:$C$79,"原始单库")</x:f>
        <x:v>0.0006334344027095762</x:v>
      </x:c>
      <x:c r="L38" s="10" t="n">
        <x:f>F38-SUMIFS(F$5:F$79,$A$5:$A$79,$A38,$B$5:$B$79,$B38,$C$5:$C$79,"原始单库")</x:f>
        <x:v>0.0005665398192405968</x:v>
      </x:c>
    </x:row>
    <x:row r="39" ht="22" customHeight="1">
      <x:c r="A39" s="2" t="str">
        <x:v>pill</x:v>
      </x:c>
      <x:c r="B39" s="2" t="n">
        <x:v>1</x:v>
      </x:c>
      <x:c r="C39" s="2" t="str">
        <x:v>收缩0.25</x:v>
      </x:c>
      <x:c r="D39" s="9" t="n">
        <x:v>0.9746317512274959</x:v>
      </x:c>
      <x:c r="E39" s="9" t="n">
        <x:v>0.9792355065004457</x:v>
      </x:c>
      <x:c r="F39" s="9" t="n">
        <x:v>0.9774603325555501</x:v>
      </x:c>
      <x:c r="G39" s="10" t="n">
        <x:f>D39-SUMIFS(D$5:D$79,$A$5:$A$79,$A39,$B$5:$B$79,$B39,$C$5:$C$79,"双分支固定")</x:f>
        <x:v>0</x:v>
      </x:c>
      <x:c r="H39" s="10" t="n">
        <x:f>E39-SUMIFS(E$5:E$79,$A$5:$A$79,$A39,$B$5:$B$79,$B39,$C$5:$C$79,"双分支固定")</x:f>
        <x:v>-0.0006591642389146557</x:v>
      </x:c>
      <x:c r="I39" s="10" t="n">
        <x:f>F39-SUMIFS(F$5:F$79,$A$5:$A$79,$A39,$B$5:$B$79,$B39,$C$5:$C$79,"双分支固定")</x:f>
        <x:v>-0.0006686935510987757</x:v>
      </x:c>
      <x:c r="J39" s="10" t="n">
        <x:f>D39-SUMIFS(D$5:D$79,$A$5:$A$79,$A39,$B$5:$B$79,$B39,$C$5:$C$79,"原始单库")</x:f>
        <x:v>0</x:v>
      </x:c>
      <x:c r="K39" s="10" t="n">
        <x:f>E39-SUMIFS(E$5:E$79,$A$5:$A$79,$A39,$B$5:$B$79,$B39,$C$5:$C$79,"原始单库")</x:f>
        <x:v>0.0037015613527647817</x:v>
      </x:c>
      <x:c r="L39" s="10" t="n">
        <x:f>F39-SUMIFS(F$5:F$79,$A$5:$A$79,$A39,$B$5:$B$79,$B39,$C$5:$C$79,"原始单库")</x:f>
        <x:v>0.0037041498715338905</x:v>
      </x:c>
    </x:row>
    <x:row r="40" ht="22" customHeight="1">
      <x:c r="A40" s="2" t="str">
        <x:v>pill</x:v>
      </x:c>
      <x:c r="B40" s="2" t="n">
        <x:v>2</x:v>
      </x:c>
      <x:c r="C40" s="2" t="str">
        <x:v>原始单库</x:v>
      </x:c>
      <x:c r="D40" s="9" t="n">
        <x:v>0.9740861974904527</x:v>
      </x:c>
      <x:c r="E40" s="9" t="n">
        <x:v>0.9762237306863437</x:v>
      </x:c>
      <x:c r="F40" s="9" t="n">
        <x:v>0.9743604429778551</x:v>
      </x:c>
      <x:c r="G40" s="10" t="n">
        <x:f>D40-SUMIFS(D$5:D$79,$A$5:$A$79,$A40,$B$5:$B$79,$B40,$C$5:$C$79,"双分支固定")</x:f>
        <x:v>0.007092198581560183</x:v>
      </x:c>
      <x:c r="H40" s="10" t="n">
        <x:f>E40-SUMIFS(E$5:E$79,$A$5:$A$79,$A40,$B$5:$B$79,$B40,$C$5:$C$79,"双分支固定")</x:f>
        <x:v>-0.00046145667157504455</x:v>
      </x:c>
      <x:c r="I40" s="10" t="n">
        <x:f>F40-SUMIFS(F$5:F$79,$A$5:$A$79,$A40,$B$5:$B$79,$B40,$C$5:$C$79,"双分支固定")</x:f>
        <x:v>-0.0005354408838877944</x:v>
      </x:c>
      <x:c r="J40" s="10" t="n">
        <x:f>D40-SUMIFS(D$5:D$79,$A$5:$A$79,$A40,$B$5:$B$79,$B40,$C$5:$C$79,"原始单库")</x:f>
        <x:v>0</x:v>
      </x:c>
      <x:c r="K40" s="10" t="n">
        <x:f>E40-SUMIFS(E$5:E$79,$A$5:$A$79,$A40,$B$5:$B$79,$B40,$C$5:$C$79,"原始单库")</x:f>
        <x:v>0</x:v>
      </x:c>
      <x:c r="L40" s="10" t="n">
        <x:f>F40-SUMIFS(F$5:F$79,$A$5:$A$79,$A40,$B$5:$B$79,$B40,$C$5:$C$79,"原始单库")</x:f>
        <x:v>0</x:v>
      </x:c>
    </x:row>
    <x:row r="41" ht="22" customHeight="1">
      <x:c r="A41" s="2" t="str">
        <x:v>pill</x:v>
      </x:c>
      <x:c r="B41" s="2" t="n">
        <x:v>2</x:v>
      </x:c>
      <x:c r="C41" s="2" t="str">
        <x:v>双分支固定</x:v>
      </x:c>
      <x:c r="D41" s="9" t="n">
        <x:v>0.9669939989088925</x:v>
      </x:c>
      <x:c r="E41" s="9" t="n">
        <x:v>0.9766851873579188</x:v>
      </x:c>
      <x:c r="F41" s="9" t="n">
        <x:v>0.9748958838617429</x:v>
      </x:c>
      <x:c r="G41" s="10" t="n">
        <x:f>D41-SUMIFS(D$5:D$79,$A$5:$A$79,$A41,$B$5:$B$79,$B41,$C$5:$C$79,"双分支固定")</x:f>
        <x:v>0</x:v>
      </x:c>
      <x:c r="H41" s="10" t="n">
        <x:f>E41-SUMIFS(E$5:E$79,$A$5:$A$79,$A41,$B$5:$B$79,$B41,$C$5:$C$79,"双分支固定")</x:f>
        <x:v>0</x:v>
      </x:c>
      <x:c r="I41" s="10" t="n">
        <x:f>F41-SUMIFS(F$5:F$79,$A$5:$A$79,$A41,$B$5:$B$79,$B41,$C$5:$C$79,"双分支固定")</x:f>
        <x:v>0</x:v>
      </x:c>
      <x:c r="J41" s="10" t="n">
        <x:f>D41-SUMIFS(D$5:D$79,$A$5:$A$79,$A41,$B$5:$B$79,$B41,$C$5:$C$79,"原始单库")</x:f>
        <x:v>-0.007092198581560183</x:v>
      </x:c>
      <x:c r="K41" s="10" t="n">
        <x:f>E41-SUMIFS(E$5:E$79,$A$5:$A$79,$A41,$B$5:$B$79,$B41,$C$5:$C$79,"原始单库")</x:f>
        <x:v>0.00046145667157504455</x:v>
      </x:c>
      <x:c r="L41" s="10" t="n">
        <x:f>F41-SUMIFS(F$5:F$79,$A$5:$A$79,$A41,$B$5:$B$79,$B41,$C$5:$C$79,"原始单库")</x:f>
        <x:v>0.0005354408838877944</x:v>
      </x:c>
    </x:row>
    <x:row r="42" ht="22" customHeight="1">
      <x:c r="A42" s="2" t="str">
        <x:v>pill</x:v>
      </x:c>
      <x:c r="B42" s="2" t="n">
        <x:v>2</x:v>
      </x:c>
      <x:c r="C42" s="2" t="str">
        <x:v>门控加收缩</x:v>
      </x:c>
      <x:c r="D42" s="9" t="n">
        <x:v>0.9669939989088925</x:v>
      </x:c>
      <x:c r="E42" s="9" t="n">
        <x:v>0.9760808433631716</x:v>
      </x:c>
      <x:c r="F42" s="9" t="n">
        <x:v>0.9742936228974197</x:v>
      </x:c>
      <x:c r="G42" s="10" t="n">
        <x:f>D42-SUMIFS(D$5:D$79,$A$5:$A$79,$A42,$B$5:$B$79,$B42,$C$5:$C$79,"双分支固定")</x:f>
        <x:v>0</x:v>
      </x:c>
      <x:c r="H42" s="10" t="n">
        <x:f>E42-SUMIFS(E$5:E$79,$A$5:$A$79,$A42,$B$5:$B$79,$B42,$C$5:$C$79,"双分支固定")</x:f>
        <x:v>-0.0006043439947471807</x:v>
      </x:c>
      <x:c r="I42" s="10" t="n">
        <x:f>F42-SUMIFS(F$5:F$79,$A$5:$A$79,$A42,$B$5:$B$79,$B42,$C$5:$C$79,"双分支固定")</x:f>
        <x:v>-0.0006022609643231425</x:v>
      </x:c>
      <x:c r="J42" s="10" t="n">
        <x:f>D42-SUMIFS(D$5:D$79,$A$5:$A$79,$A42,$B$5:$B$79,$B42,$C$5:$C$79,"原始单库")</x:f>
        <x:v>-0.007092198581560183</x:v>
      </x:c>
      <x:c r="K42" s="10" t="n">
        <x:f>E42-SUMIFS(E$5:E$79,$A$5:$A$79,$A42,$B$5:$B$79,$B42,$C$5:$C$79,"原始单库")</x:f>
        <x:v>-0.00014288732317213615</x:v>
      </x:c>
      <x:c r="L42" s="10" t="n">
        <x:f>F42-SUMIFS(F$5:F$79,$A$5:$A$79,$A42,$B$5:$B$79,$B42,$C$5:$C$79,"原始单库")</x:f>
        <x:v>-0.00006682008043534804</x:v>
      </x:c>
    </x:row>
    <x:row r="43" ht="22" customHeight="1">
      <x:c r="A43" s="2" t="str">
        <x:v>pill</x:v>
      </x:c>
      <x:c r="B43" s="2" t="n">
        <x:v>2</x:v>
      </x:c>
      <x:c r="C43" s="2" t="str">
        <x:v>像素敏感性</x:v>
      </x:c>
      <x:c r="D43" s="9" t="n">
        <x:v>0.9669939989088925</x:v>
      </x:c>
      <x:c r="E43" s="9" t="n">
        <x:v>0.9731083253965344</x:v>
      </x:c>
      <x:c r="F43" s="9" t="n">
        <x:v>0.9712741857305758</x:v>
      </x:c>
      <x:c r="G43" s="10" t="n">
        <x:f>D43-SUMIFS(D$5:D$79,$A$5:$A$79,$A43,$B$5:$B$79,$B43,$C$5:$C$79,"双分支固定")</x:f>
        <x:v>0</x:v>
      </x:c>
      <x:c r="H43" s="10" t="n">
        <x:f>E43-SUMIFS(E$5:E$79,$A$5:$A$79,$A43,$B$5:$B$79,$B43,$C$5:$C$79,"双分支固定")</x:f>
        <x:v>-0.0035768619613844033</x:v>
      </x:c>
      <x:c r="I43" s="10" t="n">
        <x:f>F43-SUMIFS(F$5:F$79,$A$5:$A$79,$A43,$B$5:$B$79,$B43,$C$5:$C$79,"双分支固定")</x:f>
        <x:v>-0.0036216981311670837</x:v>
      </x:c>
      <x:c r="J43" s="10" t="n">
        <x:f>D43-SUMIFS(D$5:D$79,$A$5:$A$79,$A43,$B$5:$B$79,$B43,$C$5:$C$79,"原始单库")</x:f>
        <x:v>-0.007092198581560183</x:v>
      </x:c>
      <x:c r="K43" s="10" t="n">
        <x:f>E43-SUMIFS(E$5:E$79,$A$5:$A$79,$A43,$B$5:$B$79,$B43,$C$5:$C$79,"原始单库")</x:f>
        <x:v>-0.0031154052898093587</x:v>
      </x:c>
      <x:c r="L43" s="10" t="n">
        <x:f>F43-SUMIFS(F$5:F$79,$A$5:$A$79,$A43,$B$5:$B$79,$B43,$C$5:$C$79,"原始单库")</x:f>
        <x:v>-0.0030862572472792893</x:v>
      </x:c>
    </x:row>
    <x:row r="44" ht="22" customHeight="1">
      <x:c r="A44" s="2" t="str">
        <x:v>pill</x:v>
      </x:c>
      <x:c r="B44" s="2" t="n">
        <x:v>2</x:v>
      </x:c>
      <x:c r="C44" s="2" t="str">
        <x:v>收缩0.25</x:v>
      </x:c>
      <x:c r="D44" s="9" t="n">
        <x:v>0.9669939989088925</x:v>
      </x:c>
      <x:c r="E44" s="9" t="n">
        <x:v>0.9760808433631716</x:v>
      </x:c>
      <x:c r="F44" s="9" t="n">
        <x:v>0.9742936228974197</x:v>
      </x:c>
      <x:c r="G44" s="10" t="n">
        <x:f>D44-SUMIFS(D$5:D$79,$A$5:$A$79,$A44,$B$5:$B$79,$B44,$C$5:$C$79,"双分支固定")</x:f>
        <x:v>0</x:v>
      </x:c>
      <x:c r="H44" s="10" t="n">
        <x:f>E44-SUMIFS(E$5:E$79,$A$5:$A$79,$A44,$B$5:$B$79,$B44,$C$5:$C$79,"双分支固定")</x:f>
        <x:v>-0.0006043439947471807</x:v>
      </x:c>
      <x:c r="I44" s="10" t="n">
        <x:f>F44-SUMIFS(F$5:F$79,$A$5:$A$79,$A44,$B$5:$B$79,$B44,$C$5:$C$79,"双分支固定")</x:f>
        <x:v>-0.0006022609643231425</x:v>
      </x:c>
      <x:c r="J44" s="10" t="n">
        <x:f>D44-SUMIFS(D$5:D$79,$A$5:$A$79,$A44,$B$5:$B$79,$B44,$C$5:$C$79,"原始单库")</x:f>
        <x:v>-0.007092198581560183</x:v>
      </x:c>
      <x:c r="K44" s="10" t="n">
        <x:f>E44-SUMIFS(E$5:E$79,$A$5:$A$79,$A44,$B$5:$B$79,$B44,$C$5:$C$79,"原始单库")</x:f>
        <x:v>-0.00014288732317213615</x:v>
      </x:c>
      <x:c r="L44" s="10" t="n">
        <x:f>F44-SUMIFS(F$5:F$79,$A$5:$A$79,$A44,$B$5:$B$79,$B44,$C$5:$C$79,"原始单库")</x:f>
        <x:v>-0.00006682008043534804</x:v>
      </x:c>
    </x:row>
    <x:row r="45" ht="22" customHeight="1">
      <x:c r="A45" s="2" t="str">
        <x:v>pill</x:v>
      </x:c>
      <x:c r="B45" s="2" t="n">
        <x:v>3</x:v>
      </x:c>
      <x:c r="C45" s="2" t="str">
        <x:v>原始单库</x:v>
      </x:c>
      <x:c r="D45" s="9" t="n">
        <x:v>0.9683578832515003</x:v>
      </x:c>
      <x:c r="E45" s="9" t="n">
        <x:v>0.9757525488100409</x:v>
      </x:c>
      <x:c r="F45" s="9" t="n">
        <x:v>0.9739067547868937</x:v>
      </x:c>
      <x:c r="G45" s="10" t="n">
        <x:f>D45-SUMIFS(D$5:D$79,$A$5:$A$79,$A45,$B$5:$B$79,$B45,$C$5:$C$79,"双分支固定")</x:f>
        <x:v>-0.0035460992907802025</x:v>
      </x:c>
      <x:c r="H45" s="10" t="n">
        <x:f>E45-SUMIFS(E$5:E$79,$A$5:$A$79,$A45,$B$5:$B$79,$B45,$C$5:$C$79,"双分支固定")</x:f>
        <x:v>-0.00004052744422500254</x:v>
      </x:c>
      <x:c r="I45" s="10" t="n">
        <x:f>F45-SUMIFS(F$5:F$79,$A$5:$A$79,$A45,$B$5:$B$79,$B45,$C$5:$C$79,"双分支固定")</x:f>
        <x:v>0.000011674646620218887</x:v>
      </x:c>
      <x:c r="J45" s="10" t="n">
        <x:f>D45-SUMIFS(D$5:D$79,$A$5:$A$79,$A45,$B$5:$B$79,$B45,$C$5:$C$79,"原始单库")</x:f>
        <x:v>0</x:v>
      </x:c>
      <x:c r="K45" s="10" t="n">
        <x:f>E45-SUMIFS(E$5:E$79,$A$5:$A$79,$A45,$B$5:$B$79,$B45,$C$5:$C$79,"原始单库")</x:f>
        <x:v>0</x:v>
      </x:c>
      <x:c r="L45" s="10" t="n">
        <x:f>F45-SUMIFS(F$5:F$79,$A$5:$A$79,$A45,$B$5:$B$79,$B45,$C$5:$C$79,"原始单库")</x:f>
        <x:v>0</x:v>
      </x:c>
    </x:row>
    <x:row r="46" ht="22" customHeight="1">
      <x:c r="A46" s="2" t="str">
        <x:v>pill</x:v>
      </x:c>
      <x:c r="B46" s="2" t="n">
        <x:v>3</x:v>
      </x:c>
      <x:c r="C46" s="2" t="str">
        <x:v>双分支固定</x:v>
      </x:c>
      <x:c r="D46" s="9" t="n">
        <x:v>0.9719039825422805</x:v>
      </x:c>
      <x:c r="E46" s="9" t="n">
        <x:v>0.9757930762542659</x:v>
      </x:c>
      <x:c r="F46" s="9" t="n">
        <x:v>0.9738950801402735</x:v>
      </x:c>
      <x:c r="G46" s="10" t="n">
        <x:f>D46-SUMIFS(D$5:D$79,$A$5:$A$79,$A46,$B$5:$B$79,$B46,$C$5:$C$79,"双分支固定")</x:f>
        <x:v>0</x:v>
      </x:c>
      <x:c r="H46" s="10" t="n">
        <x:f>E46-SUMIFS(E$5:E$79,$A$5:$A$79,$A46,$B$5:$B$79,$B46,$C$5:$C$79,"双分支固定")</x:f>
        <x:v>0</x:v>
      </x:c>
      <x:c r="I46" s="10" t="n">
        <x:f>F46-SUMIFS(F$5:F$79,$A$5:$A$79,$A46,$B$5:$B$79,$B46,$C$5:$C$79,"双分支固定")</x:f>
        <x:v>0</x:v>
      </x:c>
      <x:c r="J46" s="10" t="n">
        <x:f>D46-SUMIFS(D$5:D$79,$A$5:$A$79,$A46,$B$5:$B$79,$B46,$C$5:$C$79,"原始单库")</x:f>
        <x:v>0.0035460992907802025</x:v>
      </x:c>
      <x:c r="K46" s="10" t="n">
        <x:f>E46-SUMIFS(E$5:E$79,$A$5:$A$79,$A46,$B$5:$B$79,$B46,$C$5:$C$79,"原始单库")</x:f>
        <x:v>0.00004052744422500254</x:v>
      </x:c>
      <x:c r="L46" s="10" t="n">
        <x:f>F46-SUMIFS(F$5:F$79,$A$5:$A$79,$A46,$B$5:$B$79,$B46,$C$5:$C$79,"原始单库")</x:f>
        <x:v>-0.000011674646620218887</x:v>
      </x:c>
    </x:row>
    <x:row r="47" ht="22" customHeight="1">
      <x:c r="A47" s="2" t="str">
        <x:v>pill</x:v>
      </x:c>
      <x:c r="B47" s="2" t="n">
        <x:v>3</x:v>
      </x:c>
      <x:c r="C47" s="2" t="str">
        <x:v>门控加收缩</x:v>
      </x:c>
      <x:c r="D47" s="9" t="n">
        <x:v>0.9719039825422805</x:v>
      </x:c>
      <x:c r="E47" s="9" t="n">
        <x:v>0.9757042030723269</x:v>
      </x:c>
      <x:c r="F47" s="9" t="n">
        <x:v>0.9738057422767267</x:v>
      </x:c>
      <x:c r="G47" s="10" t="n">
        <x:f>D47-SUMIFS(D$5:D$79,$A$5:$A$79,$A47,$B$5:$B$79,$B47,$C$5:$C$79,"双分支固定")</x:f>
        <x:v>0</x:v>
      </x:c>
      <x:c r="H47" s="10" t="n">
        <x:f>E47-SUMIFS(E$5:E$79,$A$5:$A$79,$A47,$B$5:$B$79,$B47,$C$5:$C$79,"双分支固定")</x:f>
        <x:v>-0.00008887318193906424</x:v>
      </x:c>
      <x:c r="I47" s="10" t="n">
        <x:f>F47-SUMIFS(F$5:F$79,$A$5:$A$79,$A47,$B$5:$B$79,$B47,$C$5:$C$79,"双分支固定")</x:f>
        <x:v>-0.00008933786354681228</x:v>
      </x:c>
      <x:c r="J47" s="10" t="n">
        <x:f>D47-SUMIFS(D$5:D$79,$A$5:$A$79,$A47,$B$5:$B$79,$B47,$C$5:$C$79,"原始单库")</x:f>
        <x:v>0.0035460992907802025</x:v>
      </x:c>
      <x:c r="K47" s="10" t="n">
        <x:f>E47-SUMIFS(E$5:E$79,$A$5:$A$79,$A47,$B$5:$B$79,$B47,$C$5:$C$79,"原始单库")</x:f>
        <x:v>-0.0000483457377140617</x:v>
      </x:c>
      <x:c r="L47" s="10" t="n">
        <x:f>F47-SUMIFS(F$5:F$79,$A$5:$A$79,$A47,$B$5:$B$79,$B47,$C$5:$C$79,"原始单库")</x:f>
        <x:v>-0.00010101251016703117</x:v>
      </x:c>
    </x:row>
    <x:row r="48" ht="22" customHeight="1">
      <x:c r="A48" s="2" t="str">
        <x:v>pill</x:v>
      </x:c>
      <x:c r="B48" s="2" t="n">
        <x:v>3</x:v>
      </x:c>
      <x:c r="C48" s="2" t="str">
        <x:v>像素敏感性</x:v>
      </x:c>
      <x:c r="D48" s="9" t="n">
        <x:v>0.9719039825422805</x:v>
      </x:c>
      <x:c r="E48" s="9" t="n">
        <x:v>0.9753627748618111</x:v>
      </x:c>
      <x:c r="F48" s="9" t="n">
        <x:v>0.9734601421589947</x:v>
      </x:c>
      <x:c r="G48" s="10" t="n">
        <x:f>D48-SUMIFS(D$5:D$79,$A$5:$A$79,$A48,$B$5:$B$79,$B48,$C$5:$C$79,"双分支固定")</x:f>
        <x:v>0</x:v>
      </x:c>
      <x:c r="H48" s="10" t="n">
        <x:f>E48-SUMIFS(E$5:E$79,$A$5:$A$79,$A48,$B$5:$B$79,$B48,$C$5:$C$79,"双分支固定")</x:f>
        <x:v>-0.0004303013924548127</x:v>
      </x:c>
      <x:c r="I48" s="10" t="n">
        <x:f>F48-SUMIFS(F$5:F$79,$A$5:$A$79,$A48,$B$5:$B$79,$B48,$C$5:$C$79,"双分支固定")</x:f>
        <x:v>-0.00043493798127880456</x:v>
      </x:c>
      <x:c r="J48" s="10" t="n">
        <x:f>D48-SUMIFS(D$5:D$79,$A$5:$A$79,$A48,$B$5:$B$79,$B48,$C$5:$C$79,"原始单库")</x:f>
        <x:v>0.0035460992907802025</x:v>
      </x:c>
      <x:c r="K48" s="10" t="n">
        <x:f>E48-SUMIFS(E$5:E$79,$A$5:$A$79,$A48,$B$5:$B$79,$B48,$C$5:$C$79,"原始单库")</x:f>
        <x:v>-0.00038977394822981015</x:v>
      </x:c>
      <x:c r="L48" s="10" t="n">
        <x:f>F48-SUMIFS(F$5:F$79,$A$5:$A$79,$A48,$B$5:$B$79,$B48,$C$5:$C$79,"原始单库")</x:f>
        <x:v>-0.00044661262789902345</x:v>
      </x:c>
    </x:row>
    <x:row r="49" ht="22" customHeight="1">
      <x:c r="A49" s="2" t="str">
        <x:v>pill</x:v>
      </x:c>
      <x:c r="B49" s="2" t="n">
        <x:v>3</x:v>
      </x:c>
      <x:c r="C49" s="2" t="str">
        <x:v>收缩0.25</x:v>
      </x:c>
      <x:c r="D49" s="9" t="n">
        <x:v>0.9719039825422805</x:v>
      </x:c>
      <x:c r="E49" s="9" t="n">
        <x:v>0.9757042030723269</x:v>
      </x:c>
      <x:c r="F49" s="9" t="n">
        <x:v>0.9738057422767267</x:v>
      </x:c>
      <x:c r="G49" s="10" t="n">
        <x:f>D49-SUMIFS(D$5:D$79,$A$5:$A$79,$A49,$B$5:$B$79,$B49,$C$5:$C$79,"双分支固定")</x:f>
        <x:v>0</x:v>
      </x:c>
      <x:c r="H49" s="10" t="n">
        <x:f>E49-SUMIFS(E$5:E$79,$A$5:$A$79,$A49,$B$5:$B$79,$B49,$C$5:$C$79,"双分支固定")</x:f>
        <x:v>-0.00008887318193906424</x:v>
      </x:c>
      <x:c r="I49" s="10" t="n">
        <x:f>F49-SUMIFS(F$5:F$79,$A$5:$A$79,$A49,$B$5:$B$79,$B49,$C$5:$C$79,"双分支固定")</x:f>
        <x:v>-0.00008933786354681228</x:v>
      </x:c>
      <x:c r="J49" s="10" t="n">
        <x:f>D49-SUMIFS(D$5:D$79,$A$5:$A$79,$A49,$B$5:$B$79,$B49,$C$5:$C$79,"原始单库")</x:f>
        <x:v>0.0035460992907802025</x:v>
      </x:c>
      <x:c r="K49" s="10" t="n">
        <x:f>E49-SUMIFS(E$5:E$79,$A$5:$A$79,$A49,$B$5:$B$79,$B49,$C$5:$C$79,"原始单库")</x:f>
        <x:v>-0.0000483457377140617</x:v>
      </x:c>
      <x:c r="L49" s="10" t="n">
        <x:f>F49-SUMIFS(F$5:F$79,$A$5:$A$79,$A49,$B$5:$B$79,$B49,$C$5:$C$79,"原始单库")</x:f>
        <x:v>-0.00010101251016703117</x:v>
      </x:c>
    </x:row>
    <x:row r="50" ht="22" customHeight="1">
      <x:c r="A50" s="2" t="str">
        <x:v>pill</x:v>
      </x:c>
      <x:c r="B50" s="2" t="n">
        <x:v>4</x:v>
      </x:c>
      <x:c r="C50" s="2" t="str">
        <x:v>原始单库</x:v>
      </x:c>
      <x:c r="D50" s="9" t="n">
        <x:v>0.9678123295144572</x:v>
      </x:c>
      <x:c r="E50" s="9" t="n">
        <x:v>0.974559155669861</x:v>
      </x:c>
      <x:c r="F50" s="9" t="n">
        <x:v>0.9726678070047627</x:v>
      </x:c>
      <x:c r="G50" s="10" t="n">
        <x:f>D50-SUMIFS(D$5:D$79,$A$5:$A$79,$A50,$B$5:$B$79,$B50,$C$5:$C$79,"双分支固定")</x:f>
        <x:v>-0.006001091107474044</x:v>
      </x:c>
      <x:c r="H50" s="10" t="n">
        <x:f>E50-SUMIFS(E$5:E$79,$A$5:$A$79,$A50,$B$5:$B$79,$B50,$C$5:$C$79,"双分支固定")</x:f>
        <x:v>-0.0026828801642035938</x:v>
      </x:c>
      <x:c r="I50" s="10" t="n">
        <x:f>F50-SUMIFS(F$5:F$79,$A$5:$A$79,$A50,$B$5:$B$79,$B50,$C$5:$C$79,"双分支固定")</x:f>
        <x:v>-0.002734465748592818</x:v>
      </x:c>
      <x:c r="J50" s="10" t="n">
        <x:f>D50-SUMIFS(D$5:D$79,$A$5:$A$79,$A50,$B$5:$B$79,$B50,$C$5:$C$79,"原始单库")</x:f>
        <x:v>0</x:v>
      </x:c>
      <x:c r="K50" s="10" t="n">
        <x:f>E50-SUMIFS(E$5:E$79,$A$5:$A$79,$A50,$B$5:$B$79,$B50,$C$5:$C$79,"原始单库")</x:f>
        <x:v>0</x:v>
      </x:c>
      <x:c r="L50" s="10" t="n">
        <x:f>F50-SUMIFS(F$5:F$79,$A$5:$A$79,$A50,$B$5:$B$79,$B50,$C$5:$C$79,"原始单库")</x:f>
        <x:v>0</x:v>
      </x:c>
    </x:row>
    <x:row r="51" ht="22" customHeight="1">
      <x:c r="A51" s="2" t="str">
        <x:v>pill</x:v>
      </x:c>
      <x:c r="B51" s="2" t="n">
        <x:v>4</x:v>
      </x:c>
      <x:c r="C51" s="2" t="str">
        <x:v>双分支固定</x:v>
      </x:c>
      <x:c r="D51" s="9" t="n">
        <x:v>0.9738134206219312</x:v>
      </x:c>
      <x:c r="E51" s="9" t="n">
        <x:v>0.9772420358340645</x:v>
      </x:c>
      <x:c r="F51" s="9" t="n">
        <x:v>0.9754022727533556</x:v>
      </x:c>
      <x:c r="G51" s="10" t="n">
        <x:f>D51-SUMIFS(D$5:D$79,$A$5:$A$79,$A51,$B$5:$B$79,$B51,$C$5:$C$79,"双分支固定")</x:f>
        <x:v>0</x:v>
      </x:c>
      <x:c r="H51" s="10" t="n">
        <x:f>E51-SUMIFS(E$5:E$79,$A$5:$A$79,$A51,$B$5:$B$79,$B51,$C$5:$C$79,"双分支固定")</x:f>
        <x:v>0</x:v>
      </x:c>
      <x:c r="I51" s="10" t="n">
        <x:f>F51-SUMIFS(F$5:F$79,$A$5:$A$79,$A51,$B$5:$B$79,$B51,$C$5:$C$79,"双分支固定")</x:f>
        <x:v>0</x:v>
      </x:c>
      <x:c r="J51" s="10" t="n">
        <x:f>D51-SUMIFS(D$5:D$79,$A$5:$A$79,$A51,$B$5:$B$79,$B51,$C$5:$C$79,"原始单库")</x:f>
        <x:v>0.006001091107474044</x:v>
      </x:c>
      <x:c r="K51" s="10" t="n">
        <x:f>E51-SUMIFS(E$5:E$79,$A$5:$A$79,$A51,$B$5:$B$79,$B51,$C$5:$C$79,"原始单库")</x:f>
        <x:v>0.0026828801642035938</x:v>
      </x:c>
      <x:c r="L51" s="10" t="n">
        <x:f>F51-SUMIFS(F$5:F$79,$A$5:$A$79,$A51,$B$5:$B$79,$B51,$C$5:$C$79,"原始单库")</x:f>
        <x:v>0.002734465748592818</x:v>
      </x:c>
    </x:row>
    <x:row r="52" ht="22" customHeight="1">
      <x:c r="A52" s="2" t="str">
        <x:v>pill</x:v>
      </x:c>
      <x:c r="B52" s="2" t="n">
        <x:v>4</x:v>
      </x:c>
      <x:c r="C52" s="2" t="str">
        <x:v>门控加收缩</x:v>
      </x:c>
      <x:c r="D52" s="9" t="n">
        <x:v>0.9738134206219312</x:v>
      </x:c>
      <x:c r="E52" s="9" t="n">
        <x:v>0.9768801768344827</x:v>
      </x:c>
      <x:c r="F52" s="9" t="n">
        <x:v>0.9750470371566418</x:v>
      </x:c>
      <x:c r="G52" s="10" t="n">
        <x:f>D52-SUMIFS(D$5:D$79,$A$5:$A$79,$A52,$B$5:$B$79,$B52,$C$5:$C$79,"双分支固定")</x:f>
        <x:v>0</x:v>
      </x:c>
      <x:c r="H52" s="10" t="n">
        <x:f>E52-SUMIFS(E$5:E$79,$A$5:$A$79,$A52,$B$5:$B$79,$B52,$C$5:$C$79,"双分支固定")</x:f>
        <x:v>-0.0003618589995818544</x:v>
      </x:c>
      <x:c r="I52" s="10" t="n">
        <x:f>F52-SUMIFS(F$5:F$79,$A$5:$A$79,$A52,$B$5:$B$79,$B52,$C$5:$C$79,"双分支固定")</x:f>
        <x:v>-0.0003552355967137988</x:v>
      </x:c>
      <x:c r="J52" s="10" t="n">
        <x:f>D52-SUMIFS(D$5:D$79,$A$5:$A$79,$A52,$B$5:$B$79,$B52,$C$5:$C$79,"原始单库")</x:f>
        <x:v>0.006001091107474044</x:v>
      </x:c>
      <x:c r="K52" s="10" t="n">
        <x:f>E52-SUMIFS(E$5:E$79,$A$5:$A$79,$A52,$B$5:$B$79,$B52,$C$5:$C$79,"原始单库")</x:f>
        <x:v>0.0023210211646217394</x:v>
      </x:c>
      <x:c r="L52" s="10" t="n">
        <x:f>F52-SUMIFS(F$5:F$79,$A$5:$A$79,$A52,$B$5:$B$79,$B52,$C$5:$C$79,"原始单库")</x:f>
        <x:v>0.0023792301518790193</x:v>
      </x:c>
    </x:row>
    <x:row r="53" ht="22" customHeight="1">
      <x:c r="A53" s="2" t="str">
        <x:v>pill</x:v>
      </x:c>
      <x:c r="B53" s="2" t="n">
        <x:v>4</x:v>
      </x:c>
      <x:c r="C53" s="2" t="str">
        <x:v>像素敏感性</x:v>
      </x:c>
      <x:c r="D53" s="9" t="n">
        <x:v>0.9738134206219312</x:v>
      </x:c>
      <x:c r="E53" s="9" t="n">
        <x:v>0.9739239140357715</x:v>
      </x:c>
      <x:c r="F53" s="9" t="n">
        <x:v>0.972030999228285</x:v>
      </x:c>
      <x:c r="G53" s="10" t="n">
        <x:f>D53-SUMIFS(D$5:D$79,$A$5:$A$79,$A53,$B$5:$B$79,$B53,$C$5:$C$79,"双分支固定")</x:f>
        <x:v>0</x:v>
      </x:c>
      <x:c r="H53" s="10" t="n">
        <x:f>E53-SUMIFS(E$5:E$79,$A$5:$A$79,$A53,$B$5:$B$79,$B53,$C$5:$C$79,"双分支固定")</x:f>
        <x:v>-0.00331812179829305</x:v>
      </x:c>
      <x:c r="I53" s="10" t="n">
        <x:f>F53-SUMIFS(F$5:F$79,$A$5:$A$79,$A53,$B$5:$B$79,$B53,$C$5:$C$79,"双分支固定")</x:f>
        <x:v>-0.003371273525070606</x:v>
      </x:c>
      <x:c r="J53" s="10" t="n">
        <x:f>D53-SUMIFS(D$5:D$79,$A$5:$A$79,$A53,$B$5:$B$79,$B53,$C$5:$C$79,"原始单库")</x:f>
        <x:v>0.006001091107474044</x:v>
      </x:c>
      <x:c r="K53" s="10" t="n">
        <x:f>E53-SUMIFS(E$5:E$79,$A$5:$A$79,$A53,$B$5:$B$79,$B53,$C$5:$C$79,"原始单库")</x:f>
        <x:v>-0.0006352416340894562</x:v>
      </x:c>
      <x:c r="L53" s="10" t="n">
        <x:f>F53-SUMIFS(F$5:F$79,$A$5:$A$79,$A53,$B$5:$B$79,$B53,$C$5:$C$79,"原始单库")</x:f>
        <x:v>-0.000636807776477788</x:v>
      </x:c>
    </x:row>
    <x:row r="54" ht="22" customHeight="1">
      <x:c r="A54" s="2" t="str">
        <x:v>pill</x:v>
      </x:c>
      <x:c r="B54" s="2" t="n">
        <x:v>4</x:v>
      </x:c>
      <x:c r="C54" s="2" t="str">
        <x:v>收缩0.25</x:v>
      </x:c>
      <x:c r="D54" s="9" t="n">
        <x:v>0.9738134206219312</x:v>
      </x:c>
      <x:c r="E54" s="9" t="n">
        <x:v>0.9768801768344827</x:v>
      </x:c>
      <x:c r="F54" s="9" t="n">
        <x:v>0.9750470371566418</x:v>
      </x:c>
      <x:c r="G54" s="10" t="n">
        <x:f>D54-SUMIFS(D$5:D$79,$A$5:$A$79,$A54,$B$5:$B$79,$B54,$C$5:$C$79,"双分支固定")</x:f>
        <x:v>0</x:v>
      </x:c>
      <x:c r="H54" s="10" t="n">
        <x:f>E54-SUMIFS(E$5:E$79,$A$5:$A$79,$A54,$B$5:$B$79,$B54,$C$5:$C$79,"双分支固定")</x:f>
        <x:v>-0.0003618589995818544</x:v>
      </x:c>
      <x:c r="I54" s="10" t="n">
        <x:f>F54-SUMIFS(F$5:F$79,$A$5:$A$79,$A54,$B$5:$B$79,$B54,$C$5:$C$79,"双分支固定")</x:f>
        <x:v>-0.0003552355967137988</x:v>
      </x:c>
      <x:c r="J54" s="10" t="n">
        <x:f>D54-SUMIFS(D$5:D$79,$A$5:$A$79,$A54,$B$5:$B$79,$B54,$C$5:$C$79,"原始单库")</x:f>
        <x:v>0.006001091107474044</x:v>
      </x:c>
      <x:c r="K54" s="10" t="n">
        <x:f>E54-SUMIFS(E$5:E$79,$A$5:$A$79,$A54,$B$5:$B$79,$B54,$C$5:$C$79,"原始单库")</x:f>
        <x:v>0.0023210211646217394</x:v>
      </x:c>
      <x:c r="L54" s="10" t="n">
        <x:f>F54-SUMIFS(F$5:F$79,$A$5:$A$79,$A54,$B$5:$B$79,$B54,$C$5:$C$79,"原始单库")</x:f>
        <x:v>0.0023792301518790193</x:v>
      </x:c>
    </x:row>
    <x:row r="55" ht="22" customHeight="1">
      <x:c r="A55" s="2" t="str">
        <x:v>transistor</x:v>
      </x:c>
      <x:c r="B55" s="2" t="n">
        <x:v>0</x:v>
      </x:c>
      <x:c r="C55" s="2" t="str">
        <x:v>原始单库</x:v>
      </x:c>
      <x:c r="D55" s="9" t="n">
        <x:v>0.9970833333333333</x:v>
      </x:c>
      <x:c r="E55" s="9" t="n">
        <x:v>0.9573082180293608</x:v>
      </x:c>
      <x:c r="F55" s="9" t="n">
        <x:v>0.9245207385744569</x:v>
      </x:c>
      <x:c r="G55" s="10" t="n">
        <x:f>D55-SUMIFS(D$5:D$79,$A$5:$A$79,$A55,$B$5:$B$79,$B55,$C$5:$C$79,"双分支固定")</x:f>
        <x:v>0.013333333333333197</x:v>
      </x:c>
      <x:c r="H55" s="10" t="n">
        <x:f>E55-SUMIFS(E$5:E$79,$A$5:$A$79,$A55,$B$5:$B$79,$B55,$C$5:$C$79,"双分支固定")</x:f>
        <x:v>-0.005269430452585544</x:v>
      </x:c>
      <x:c r="I55" s="10" t="n">
        <x:f>F55-SUMIFS(F$5:F$79,$A$5:$A$79,$A55,$B$5:$B$79,$B55,$C$5:$C$79,"双分支固定")</x:f>
        <x:v>-0.0053682082158899025</x:v>
      </x:c>
      <x:c r="J55" s="10" t="n">
        <x:f>D55-SUMIFS(D$5:D$79,$A$5:$A$79,$A55,$B$5:$B$79,$B55,$C$5:$C$79,"原始单库")</x:f>
        <x:v>0</x:v>
      </x:c>
      <x:c r="K55" s="10" t="n">
        <x:f>E55-SUMIFS(E$5:E$79,$A$5:$A$79,$A55,$B$5:$B$79,$B55,$C$5:$C$79,"原始单库")</x:f>
        <x:v>0</x:v>
      </x:c>
      <x:c r="L55" s="10" t="n">
        <x:f>F55-SUMIFS(F$5:F$79,$A$5:$A$79,$A55,$B$5:$B$79,$B55,$C$5:$C$79,"原始单库")</x:f>
        <x:v>0</x:v>
      </x:c>
    </x:row>
    <x:row r="56" ht="22" customHeight="1">
      <x:c r="A56" s="2" t="str">
        <x:v>transistor</x:v>
      </x:c>
      <x:c r="B56" s="2" t="n">
        <x:v>0</x:v>
      </x:c>
      <x:c r="C56" s="2" t="str">
        <x:v>双分支固定</x:v>
      </x:c>
      <x:c r="D56" s="9" t="n">
        <x:v>0.9837500000000001</x:v>
      </x:c>
      <x:c r="E56" s="9" t="n">
        <x:v>0.9625776484819464</x:v>
      </x:c>
      <x:c r="F56" s="9" t="n">
        <x:v>0.9298889467903468</x:v>
      </x:c>
      <x:c r="G56" s="10" t="n">
        <x:f>D56-SUMIFS(D$5:D$79,$A$5:$A$79,$A56,$B$5:$B$79,$B56,$C$5:$C$79,"双分支固定")</x:f>
        <x:v>0</x:v>
      </x:c>
      <x:c r="H56" s="10" t="n">
        <x:f>E56-SUMIFS(E$5:E$79,$A$5:$A$79,$A56,$B$5:$B$79,$B56,$C$5:$C$79,"双分支固定")</x:f>
        <x:v>0</x:v>
      </x:c>
      <x:c r="I56" s="10" t="n">
        <x:f>F56-SUMIFS(F$5:F$79,$A$5:$A$79,$A56,$B$5:$B$79,$B56,$C$5:$C$79,"双分支固定")</x:f>
        <x:v>0</x:v>
      </x:c>
      <x:c r="J56" s="10" t="n">
        <x:f>D56-SUMIFS(D$5:D$79,$A$5:$A$79,$A56,$B$5:$B$79,$B56,$C$5:$C$79,"原始单库")</x:f>
        <x:v>-0.013333333333333197</x:v>
      </x:c>
      <x:c r="K56" s="10" t="n">
        <x:f>E56-SUMIFS(E$5:E$79,$A$5:$A$79,$A56,$B$5:$B$79,$B56,$C$5:$C$79,"原始单库")</x:f>
        <x:v>0.005269430452585544</x:v>
      </x:c>
      <x:c r="L56" s="10" t="n">
        <x:f>F56-SUMIFS(F$5:F$79,$A$5:$A$79,$A56,$B$5:$B$79,$B56,$C$5:$C$79,"原始单库")</x:f>
        <x:v>0.0053682082158899025</x:v>
      </x:c>
    </x:row>
    <x:row r="57" ht="22" customHeight="1">
      <x:c r="A57" s="2" t="str">
        <x:v>transistor</x:v>
      </x:c>
      <x:c r="B57" s="2" t="n">
        <x:v>0</x:v>
      </x:c>
      <x:c r="C57" s="2" t="str">
        <x:v>门控加收缩</x:v>
      </x:c>
      <x:c r="D57" s="9" t="n">
        <x:v>0.9837500000000001</x:v>
      </x:c>
      <x:c r="E57" s="9" t="n">
        <x:v>0.9584437236459944</x:v>
      </x:c>
      <x:c r="F57" s="9" t="n">
        <x:v>0.9248982720959674</x:v>
      </x:c>
      <x:c r="G57" s="10" t="n">
        <x:f>D57-SUMIFS(D$5:D$79,$A$5:$A$79,$A57,$B$5:$B$79,$B57,$C$5:$C$79,"双分支固定")</x:f>
        <x:v>0</x:v>
      </x:c>
      <x:c r="H57" s="10" t="n">
        <x:f>E57-SUMIFS(E$5:E$79,$A$5:$A$79,$A57,$B$5:$B$79,$B57,$C$5:$C$79,"双分支固定")</x:f>
        <x:v>-0.004133924835951985</x:v>
      </x:c>
      <x:c r="I57" s="10" t="n">
        <x:f>F57-SUMIFS(F$5:F$79,$A$5:$A$79,$A57,$B$5:$B$79,$B57,$C$5:$C$79,"双分支固定")</x:f>
        <x:v>-0.004990674694379416</x:v>
      </x:c>
      <x:c r="J57" s="10" t="n">
        <x:f>D57-SUMIFS(D$5:D$79,$A$5:$A$79,$A57,$B$5:$B$79,$B57,$C$5:$C$79,"原始单库")</x:f>
        <x:v>-0.013333333333333197</x:v>
      </x:c>
      <x:c r="K57" s="10" t="n">
        <x:f>E57-SUMIFS(E$5:E$79,$A$5:$A$79,$A57,$B$5:$B$79,$B57,$C$5:$C$79,"原始单库")</x:f>
        <x:v>0.0011355056166335586</x:v>
      </x:c>
      <x:c r="L57" s="10" t="n">
        <x:f>F57-SUMIFS(F$5:F$79,$A$5:$A$79,$A57,$B$5:$B$79,$B57,$C$5:$C$79,"原始单库")</x:f>
        <x:v>0.0003775335215104869</x:v>
      </x:c>
    </x:row>
    <x:row r="58" ht="22" customHeight="1">
      <x:c r="A58" s="2" t="str">
        <x:v>transistor</x:v>
      </x:c>
      <x:c r="B58" s="2" t="n">
        <x:v>0</x:v>
      </x:c>
      <x:c r="C58" s="2" t="str">
        <x:v>像素敏感性</x:v>
      </x:c>
      <x:c r="D58" s="9" t="n">
        <x:v>0.9837500000000001</x:v>
      </x:c>
      <x:c r="E58" s="9" t="n">
        <x:v>0.9310308669891771</x:v>
      </x:c>
      <x:c r="F58" s="9" t="n">
        <x:v>0.8954690186121539</x:v>
      </x:c>
      <x:c r="G58" s="10" t="n">
        <x:f>D58-SUMIFS(D$5:D$79,$A$5:$A$79,$A58,$B$5:$B$79,$B58,$C$5:$C$79,"双分支固定")</x:f>
        <x:v>0</x:v>
      </x:c>
      <x:c r="H58" s="10" t="n">
        <x:f>E58-SUMIFS(E$5:E$79,$A$5:$A$79,$A58,$B$5:$B$79,$B58,$C$5:$C$79,"双分支固定")</x:f>
        <x:v>-0.03154678149276924</x:v>
      </x:c>
      <x:c r="I58" s="10" t="n">
        <x:f>F58-SUMIFS(F$5:F$79,$A$5:$A$79,$A58,$B$5:$B$79,$B58,$C$5:$C$79,"双分支固定")</x:f>
        <x:v>-0.03441992817819295</x:v>
      </x:c>
      <x:c r="J58" s="10" t="n">
        <x:f>D58-SUMIFS(D$5:D$79,$A$5:$A$79,$A58,$B$5:$B$79,$B58,$C$5:$C$79,"原始单库")</x:f>
        <x:v>-0.013333333333333197</x:v>
      </x:c>
      <x:c r="K58" s="10" t="n">
        <x:f>E58-SUMIFS(E$5:E$79,$A$5:$A$79,$A58,$B$5:$B$79,$B58,$C$5:$C$79,"原始单库")</x:f>
        <x:v>-0.026277351040183694</x:v>
      </x:c>
      <x:c r="L58" s="10" t="n">
        <x:f>F58-SUMIFS(F$5:F$79,$A$5:$A$79,$A58,$B$5:$B$79,$B58,$C$5:$C$79,"原始单库")</x:f>
        <x:v>-0.029051719962303046</x:v>
      </x:c>
    </x:row>
    <x:row r="59" ht="22" customHeight="1">
      <x:c r="A59" s="2" t="str">
        <x:v>transistor</x:v>
      </x:c>
      <x:c r="B59" s="2" t="n">
        <x:v>0</x:v>
      </x:c>
      <x:c r="C59" s="2" t="str">
        <x:v>收缩0.25</x:v>
      </x:c>
      <x:c r="D59" s="9" t="n">
        <x:v>0.9837500000000001</x:v>
      </x:c>
      <x:c r="E59" s="9" t="n">
        <x:v>0.9584437236459944</x:v>
      </x:c>
      <x:c r="F59" s="9" t="n">
        <x:v>0.9248982720959674</x:v>
      </x:c>
      <x:c r="G59" s="10" t="n">
        <x:f>D59-SUMIFS(D$5:D$79,$A$5:$A$79,$A59,$B$5:$B$79,$B59,$C$5:$C$79,"双分支固定")</x:f>
        <x:v>0</x:v>
      </x:c>
      <x:c r="H59" s="10" t="n">
        <x:f>E59-SUMIFS(E$5:E$79,$A$5:$A$79,$A59,$B$5:$B$79,$B59,$C$5:$C$79,"双分支固定")</x:f>
        <x:v>-0.004133924835951985</x:v>
      </x:c>
      <x:c r="I59" s="10" t="n">
        <x:f>F59-SUMIFS(F$5:F$79,$A$5:$A$79,$A59,$B$5:$B$79,$B59,$C$5:$C$79,"双分支固定")</x:f>
        <x:v>-0.004990674694379416</x:v>
      </x:c>
      <x:c r="J59" s="10" t="n">
        <x:f>D59-SUMIFS(D$5:D$79,$A$5:$A$79,$A59,$B$5:$B$79,$B59,$C$5:$C$79,"原始单库")</x:f>
        <x:v>-0.013333333333333197</x:v>
      </x:c>
      <x:c r="K59" s="10" t="n">
        <x:f>E59-SUMIFS(E$5:E$79,$A$5:$A$79,$A59,$B$5:$B$79,$B59,$C$5:$C$79,"原始单库")</x:f>
        <x:v>0.0011355056166335586</x:v>
      </x:c>
      <x:c r="L59" s="10" t="n">
        <x:f>F59-SUMIFS(F$5:F$79,$A$5:$A$79,$A59,$B$5:$B$79,$B59,$C$5:$C$79,"原始单库")</x:f>
        <x:v>0.0003775335215104869</x:v>
      </x:c>
    </x:row>
    <x:row r="60" ht="22" customHeight="1">
      <x:c r="A60" s="2" t="str">
        <x:v>transistor</x:v>
      </x:c>
      <x:c r="B60" s="2" t="n">
        <x:v>1</x:v>
      </x:c>
      <x:c r="C60" s="2" t="str">
        <x:v>原始单库</x:v>
      </x:c>
      <x:c r="D60" s="9" t="n">
        <x:v>1</x:v>
      </x:c>
      <x:c r="E60" s="9" t="n">
        <x:v>0.9483991740114185</x:v>
      </x:c>
      <x:c r="F60" s="9" t="n">
        <x:v>0.9151679725665861</x:v>
      </x:c>
      <x:c r="G60" s="10" t="n">
        <x:f>D60-SUMIFS(D$5:D$79,$A$5:$A$79,$A60,$B$5:$B$79,$B60,$C$5:$C$79,"双分支固定")</x:f>
        <x:v>0.015000000000000013</x:v>
      </x:c>
      <x:c r="H60" s="10" t="n">
        <x:f>E60-SUMIFS(E$5:E$79,$A$5:$A$79,$A60,$B$5:$B$79,$B60,$C$5:$C$79,"双分支固定")</x:f>
        <x:v>-0.018310584395618723</x:v>
      </x:c>
      <x:c r="I60" s="10" t="n">
        <x:f>F60-SUMIFS(F$5:F$79,$A$5:$A$79,$A60,$B$5:$B$79,$B60,$C$5:$C$79,"双分支固定")</x:f>
        <x:v>-0.01812719660687523</x:v>
      </x:c>
      <x:c r="J60" s="10" t="n">
        <x:f>D60-SUMIFS(D$5:D$79,$A$5:$A$79,$A60,$B$5:$B$79,$B60,$C$5:$C$79,"原始单库")</x:f>
        <x:v>0</x:v>
      </x:c>
      <x:c r="K60" s="10" t="n">
        <x:f>E60-SUMIFS(E$5:E$79,$A$5:$A$79,$A60,$B$5:$B$79,$B60,$C$5:$C$79,"原始单库")</x:f>
        <x:v>0</x:v>
      </x:c>
      <x:c r="L60" s="10" t="n">
        <x:f>F60-SUMIFS(F$5:F$79,$A$5:$A$79,$A60,$B$5:$B$79,$B60,$C$5:$C$79,"原始单库")</x:f>
        <x:v>0</x:v>
      </x:c>
    </x:row>
    <x:row r="61" ht="22" customHeight="1">
      <x:c r="A61" s="2" t="str">
        <x:v>transistor</x:v>
      </x:c>
      <x:c r="B61" s="2" t="n">
        <x:v>1</x:v>
      </x:c>
      <x:c r="C61" s="2" t="str">
        <x:v>双分支固定</x:v>
      </x:c>
      <x:c r="D61" s="9" t="n">
        <x:v>0.985</x:v>
      </x:c>
      <x:c r="E61" s="9" t="n">
        <x:v>0.9667097584070372</x:v>
      </x:c>
      <x:c r="F61" s="9" t="n">
        <x:v>0.9332951691734613</x:v>
      </x:c>
      <x:c r="G61" s="10" t="n">
        <x:f>D61-SUMIFS(D$5:D$79,$A$5:$A$79,$A61,$B$5:$B$79,$B61,$C$5:$C$79,"双分支固定")</x:f>
        <x:v>0</x:v>
      </x:c>
      <x:c r="H61" s="10" t="n">
        <x:f>E61-SUMIFS(E$5:E$79,$A$5:$A$79,$A61,$B$5:$B$79,$B61,$C$5:$C$79,"双分支固定")</x:f>
        <x:v>0</x:v>
      </x:c>
      <x:c r="I61" s="10" t="n">
        <x:f>F61-SUMIFS(F$5:F$79,$A$5:$A$79,$A61,$B$5:$B$79,$B61,$C$5:$C$79,"双分支固定")</x:f>
        <x:v>0</x:v>
      </x:c>
      <x:c r="J61" s="10" t="n">
        <x:f>D61-SUMIFS(D$5:D$79,$A$5:$A$79,$A61,$B$5:$B$79,$B61,$C$5:$C$79,"原始单库")</x:f>
        <x:v>-0.015000000000000013</x:v>
      </x:c>
      <x:c r="K61" s="10" t="n">
        <x:f>E61-SUMIFS(E$5:E$79,$A$5:$A$79,$A61,$B$5:$B$79,$B61,$C$5:$C$79,"原始单库")</x:f>
        <x:v>0.018310584395618723</x:v>
      </x:c>
      <x:c r="L61" s="10" t="n">
        <x:f>F61-SUMIFS(F$5:F$79,$A$5:$A$79,$A61,$B$5:$B$79,$B61,$C$5:$C$79,"原始单库")</x:f>
        <x:v>0.01812719660687523</x:v>
      </x:c>
    </x:row>
    <x:row r="62" ht="22" customHeight="1">
      <x:c r="A62" s="2" t="str">
        <x:v>transistor</x:v>
      </x:c>
      <x:c r="B62" s="2" t="n">
        <x:v>1</x:v>
      </x:c>
      <x:c r="C62" s="2" t="str">
        <x:v>门控加收缩</x:v>
      </x:c>
      <x:c r="D62" s="9" t="n">
        <x:v>0.985</x:v>
      </x:c>
      <x:c r="E62" s="9" t="n">
        <x:v>0.9667097584070372</x:v>
      </x:c>
      <x:c r="F62" s="9" t="n">
        <x:v>0.9332951691734613</x:v>
      </x:c>
      <x:c r="G62" s="10" t="n">
        <x:f>D62-SUMIFS(D$5:D$79,$A$5:$A$79,$A62,$B$5:$B$79,$B62,$C$5:$C$79,"双分支固定")</x:f>
        <x:v>0</x:v>
      </x:c>
      <x:c r="H62" s="10" t="n">
        <x:f>E62-SUMIFS(E$5:E$79,$A$5:$A$79,$A62,$B$5:$B$79,$B62,$C$5:$C$79,"双分支固定")</x:f>
        <x:v>0</x:v>
      </x:c>
      <x:c r="I62" s="10" t="n">
        <x:f>F62-SUMIFS(F$5:F$79,$A$5:$A$79,$A62,$B$5:$B$79,$B62,$C$5:$C$79,"双分支固定")</x:f>
        <x:v>0</x:v>
      </x:c>
      <x:c r="J62" s="10" t="n">
        <x:f>D62-SUMIFS(D$5:D$79,$A$5:$A$79,$A62,$B$5:$B$79,$B62,$C$5:$C$79,"原始单库")</x:f>
        <x:v>-0.015000000000000013</x:v>
      </x:c>
      <x:c r="K62" s="10" t="n">
        <x:f>E62-SUMIFS(E$5:E$79,$A$5:$A$79,$A62,$B$5:$B$79,$B62,$C$5:$C$79,"原始单库")</x:f>
        <x:v>0.018310584395618723</x:v>
      </x:c>
      <x:c r="L62" s="10" t="n">
        <x:f>F62-SUMIFS(F$5:F$79,$A$5:$A$79,$A62,$B$5:$B$79,$B62,$C$5:$C$79,"原始单库")</x:f>
        <x:v>0.01812719660687523</x:v>
      </x:c>
    </x:row>
    <x:row r="63" ht="22" customHeight="1">
      <x:c r="A63" s="2" t="str">
        <x:v>transistor</x:v>
      </x:c>
      <x:c r="B63" s="2" t="n">
        <x:v>1</x:v>
      </x:c>
      <x:c r="C63" s="2" t="str">
        <x:v>像素敏感性</x:v>
      </x:c>
      <x:c r="D63" s="9" t="n">
        <x:v>0.985</x:v>
      </x:c>
      <x:c r="E63" s="9" t="n">
        <x:v>0.9169699684105102</x:v>
      </x:c>
      <x:c r="F63" s="9" t="n">
        <x:v>0.8819232058458972</x:v>
      </x:c>
      <x:c r="G63" s="10" t="n">
        <x:f>D63-SUMIFS(D$5:D$79,$A$5:$A$79,$A63,$B$5:$B$79,$B63,$C$5:$C$79,"双分支固定")</x:f>
        <x:v>0</x:v>
      </x:c>
      <x:c r="H63" s="10" t="n">
        <x:f>E63-SUMIFS(E$5:E$79,$A$5:$A$79,$A63,$B$5:$B$79,$B63,$C$5:$C$79,"双分支固定")</x:f>
        <x:v>-0.04973978999652706</x:v>
      </x:c>
      <x:c r="I63" s="10" t="n">
        <x:f>F63-SUMIFS(F$5:F$79,$A$5:$A$79,$A63,$B$5:$B$79,$B63,$C$5:$C$79,"双分支固定")</x:f>
        <x:v>-0.05137196332756411</x:v>
      </x:c>
      <x:c r="J63" s="10" t="n">
        <x:f>D63-SUMIFS(D$5:D$79,$A$5:$A$79,$A63,$B$5:$B$79,$B63,$C$5:$C$79,"原始单库")</x:f>
        <x:v>-0.015000000000000013</x:v>
      </x:c>
      <x:c r="K63" s="10" t="n">
        <x:f>E63-SUMIFS(E$5:E$79,$A$5:$A$79,$A63,$B$5:$B$79,$B63,$C$5:$C$79,"原始单库")</x:f>
        <x:v>-0.03142920560090834</x:v>
      </x:c>
      <x:c r="L63" s="10" t="n">
        <x:f>F63-SUMIFS(F$5:F$79,$A$5:$A$79,$A63,$B$5:$B$79,$B63,$C$5:$C$79,"原始单库")</x:f>
        <x:v>-0.03324476672068888</x:v>
      </x:c>
    </x:row>
    <x:row r="64" ht="22" customHeight="1">
      <x:c r="A64" s="2" t="str">
        <x:v>transistor</x:v>
      </x:c>
      <x:c r="B64" s="2" t="n">
        <x:v>1</x:v>
      </x:c>
      <x:c r="C64" s="2" t="str">
        <x:v>收缩0.25</x:v>
      </x:c>
      <x:c r="D64" s="9" t="n">
        <x:v>0.985</x:v>
      </x:c>
      <x:c r="E64" s="9" t="n">
        <x:v>0.9604596030061112</x:v>
      </x:c>
      <x:c r="F64" s="9" t="n">
        <x:v>0.9258687311029576</x:v>
      </x:c>
      <x:c r="G64" s="10" t="n">
        <x:f>D64-SUMIFS(D$5:D$79,$A$5:$A$79,$A64,$B$5:$B$79,$B64,$C$5:$C$79,"双分支固定")</x:f>
        <x:v>0</x:v>
      </x:c>
      <x:c r="H64" s="10" t="n">
        <x:f>E64-SUMIFS(E$5:E$79,$A$5:$A$79,$A64,$B$5:$B$79,$B64,$C$5:$C$79,"双分支固定")</x:f>
        <x:v>-0.006250155400925994</x:v>
      </x:c>
      <x:c r="I64" s="10" t="n">
        <x:f>F64-SUMIFS(F$5:F$79,$A$5:$A$79,$A64,$B$5:$B$79,$B64,$C$5:$C$79,"双分支固定")</x:f>
        <x:v>-0.007426438070503694</x:v>
      </x:c>
      <x:c r="J64" s="10" t="n">
        <x:f>D64-SUMIFS(D$5:D$79,$A$5:$A$79,$A64,$B$5:$B$79,$B64,$C$5:$C$79,"原始单库")</x:f>
        <x:v>-0.015000000000000013</x:v>
      </x:c>
      <x:c r="K64" s="10" t="n">
        <x:f>E64-SUMIFS(E$5:E$79,$A$5:$A$79,$A64,$B$5:$B$79,$B64,$C$5:$C$79,"原始单库")</x:f>
        <x:v>0.012060428994692729</x:v>
      </x:c>
      <x:c r="L64" s="10" t="n">
        <x:f>F64-SUMIFS(F$5:F$79,$A$5:$A$79,$A64,$B$5:$B$79,$B64,$C$5:$C$79,"原始单库")</x:f>
        <x:v>0.010700758536371535</x:v>
      </x:c>
    </x:row>
    <x:row r="65" ht="22" customHeight="1">
      <x:c r="A65" s="2" t="str">
        <x:v>transistor</x:v>
      </x:c>
      <x:c r="B65" s="2" t="n">
        <x:v>2</x:v>
      </x:c>
      <x:c r="C65" s="2" t="str">
        <x:v>原始单库</x:v>
      </x:c>
      <x:c r="D65" s="9" t="n">
        <x:v>0.9991666666666666</x:v>
      </x:c>
      <x:c r="E65" s="9" t="n">
        <x:v>0.9467585169343802</x:v>
      </x:c>
      <x:c r="F65" s="9" t="n">
        <x:v>0.9137726118085292</x:v>
      </x:c>
      <x:c r="G65" s="10" t="n">
        <x:f>D65-SUMIFS(D$5:D$79,$A$5:$A$79,$A65,$B$5:$B$79,$B65,$C$5:$C$79,"双分支固定")</x:f>
        <x:v>0.03541666666666665</x:v>
      </x:c>
      <x:c r="H65" s="10" t="n">
        <x:f>E65-SUMIFS(E$5:E$79,$A$5:$A$79,$A65,$B$5:$B$79,$B65,$C$5:$C$79,"双分支固定")</x:f>
        <x:v>-0.007999249872801206</x:v>
      </x:c>
      <x:c r="I65" s="10" t="n">
        <x:f>F65-SUMIFS(F$5:F$79,$A$5:$A$79,$A65,$B$5:$B$79,$B65,$C$5:$C$79,"双分支固定")</x:f>
        <x:v>-0.009431588175904393</x:v>
      </x:c>
      <x:c r="J65" s="10" t="n">
        <x:f>D65-SUMIFS(D$5:D$79,$A$5:$A$79,$A65,$B$5:$B$79,$B65,$C$5:$C$79,"原始单库")</x:f>
        <x:v>0</x:v>
      </x:c>
      <x:c r="K65" s="10" t="n">
        <x:f>E65-SUMIFS(E$5:E$79,$A$5:$A$79,$A65,$B$5:$B$79,$B65,$C$5:$C$79,"原始单库")</x:f>
        <x:v>0</x:v>
      </x:c>
      <x:c r="L65" s="10" t="n">
        <x:f>F65-SUMIFS(F$5:F$79,$A$5:$A$79,$A65,$B$5:$B$79,$B65,$C$5:$C$79,"原始单库")</x:f>
        <x:v>0</x:v>
      </x:c>
    </x:row>
    <x:row r="66" ht="22" customHeight="1">
      <x:c r="A66" s="2" t="str">
        <x:v>transistor</x:v>
      </x:c>
      <x:c r="B66" s="2" t="n">
        <x:v>2</x:v>
      </x:c>
      <x:c r="C66" s="2" t="str">
        <x:v>双分支固定</x:v>
      </x:c>
      <x:c r="D66" s="9" t="n">
        <x:v>0.96375</x:v>
      </x:c>
      <x:c r="E66" s="9" t="n">
        <x:v>0.9547577668071814</x:v>
      </x:c>
      <x:c r="F66" s="9" t="n">
        <x:v>0.9232041999844336</x:v>
      </x:c>
      <x:c r="G66" s="10" t="n">
        <x:f>D66-SUMIFS(D$5:D$79,$A$5:$A$79,$A66,$B$5:$B$79,$B66,$C$5:$C$79,"双分支固定")</x:f>
        <x:v>0</x:v>
      </x:c>
      <x:c r="H66" s="10" t="n">
        <x:f>E66-SUMIFS(E$5:E$79,$A$5:$A$79,$A66,$B$5:$B$79,$B66,$C$5:$C$79,"双分支固定")</x:f>
        <x:v>0</x:v>
      </x:c>
      <x:c r="I66" s="10" t="n">
        <x:f>F66-SUMIFS(F$5:F$79,$A$5:$A$79,$A66,$B$5:$B$79,$B66,$C$5:$C$79,"双分支固定")</x:f>
        <x:v>0</x:v>
      </x:c>
      <x:c r="J66" s="10" t="n">
        <x:f>D66-SUMIFS(D$5:D$79,$A$5:$A$79,$A66,$B$5:$B$79,$B66,$C$5:$C$79,"原始单库")</x:f>
        <x:v>-0.03541666666666665</x:v>
      </x:c>
      <x:c r="K66" s="10" t="n">
        <x:f>E66-SUMIFS(E$5:E$79,$A$5:$A$79,$A66,$B$5:$B$79,$B66,$C$5:$C$79,"原始单库")</x:f>
        <x:v>0.007999249872801206</x:v>
      </x:c>
      <x:c r="L66" s="10" t="n">
        <x:f>F66-SUMIFS(F$5:F$79,$A$5:$A$79,$A66,$B$5:$B$79,$B66,$C$5:$C$79,"原始单库")</x:f>
        <x:v>0.009431588175904393</x:v>
      </x:c>
    </x:row>
    <x:row r="67" ht="22" customHeight="1">
      <x:c r="A67" s="2" t="str">
        <x:v>transistor</x:v>
      </x:c>
      <x:c r="B67" s="2" t="n">
        <x:v>2</x:v>
      </x:c>
      <x:c r="C67" s="2" t="str">
        <x:v>门控加收缩</x:v>
      </x:c>
      <x:c r="D67" s="9" t="n">
        <x:v>0.96375</x:v>
      </x:c>
      <x:c r="E67" s="9" t="n">
        <x:v>0.9547577668071814</x:v>
      </x:c>
      <x:c r="F67" s="9" t="n">
        <x:v>0.9232041999844336</x:v>
      </x:c>
      <x:c r="G67" s="10" t="n">
        <x:f>D67-SUMIFS(D$5:D$79,$A$5:$A$79,$A67,$B$5:$B$79,$B67,$C$5:$C$79,"双分支固定")</x:f>
        <x:v>0</x:v>
      </x:c>
      <x:c r="H67" s="10" t="n">
        <x:f>E67-SUMIFS(E$5:E$79,$A$5:$A$79,$A67,$B$5:$B$79,$B67,$C$5:$C$79,"双分支固定")</x:f>
        <x:v>0</x:v>
      </x:c>
      <x:c r="I67" s="10" t="n">
        <x:f>F67-SUMIFS(F$5:F$79,$A$5:$A$79,$A67,$B$5:$B$79,$B67,$C$5:$C$79,"双分支固定")</x:f>
        <x:v>0</x:v>
      </x:c>
      <x:c r="J67" s="10" t="n">
        <x:f>D67-SUMIFS(D$5:D$79,$A$5:$A$79,$A67,$B$5:$B$79,$B67,$C$5:$C$79,"原始单库")</x:f>
        <x:v>-0.03541666666666665</x:v>
      </x:c>
      <x:c r="K67" s="10" t="n">
        <x:f>E67-SUMIFS(E$5:E$79,$A$5:$A$79,$A67,$B$5:$B$79,$B67,$C$5:$C$79,"原始单库")</x:f>
        <x:v>0.007999249872801206</x:v>
      </x:c>
      <x:c r="L67" s="10" t="n">
        <x:f>F67-SUMIFS(F$5:F$79,$A$5:$A$79,$A67,$B$5:$B$79,$B67,$C$5:$C$79,"原始单库")</x:f>
        <x:v>0.009431588175904393</x:v>
      </x:c>
    </x:row>
    <x:row r="68" ht="22" customHeight="1">
      <x:c r="A68" s="2" t="str">
        <x:v>transistor</x:v>
      </x:c>
      <x:c r="B68" s="2" t="n">
        <x:v>2</x:v>
      </x:c>
      <x:c r="C68" s="2" t="str">
        <x:v>像素敏感性</x:v>
      </x:c>
      <x:c r="D68" s="9" t="n">
        <x:v>0.96375</x:v>
      </x:c>
      <x:c r="E68" s="9" t="n">
        <x:v>0.914588805333718</x:v>
      </x:c>
      <x:c r="F68" s="9" t="n">
        <x:v>0.8818754345427489</x:v>
      </x:c>
      <x:c r="G68" s="10" t="n">
        <x:f>D68-SUMIFS(D$5:D$79,$A$5:$A$79,$A68,$B$5:$B$79,$B68,$C$5:$C$79,"双分支固定")</x:f>
        <x:v>0</x:v>
      </x:c>
      <x:c r="H68" s="10" t="n">
        <x:f>E68-SUMIFS(E$5:E$79,$A$5:$A$79,$A68,$B$5:$B$79,$B68,$C$5:$C$79,"双分支固定")</x:f>
        <x:v>-0.04016896147346338</x:v>
      </x:c>
      <x:c r="I68" s="10" t="n">
        <x:f>F68-SUMIFS(F$5:F$79,$A$5:$A$79,$A68,$B$5:$B$79,$B68,$C$5:$C$79,"双分支固定")</x:f>
        <x:v>-0.041328765441684734</x:v>
      </x:c>
      <x:c r="J68" s="10" t="n">
        <x:f>D68-SUMIFS(D$5:D$79,$A$5:$A$79,$A68,$B$5:$B$79,$B68,$C$5:$C$79,"原始单库")</x:f>
        <x:v>-0.03541666666666665</x:v>
      </x:c>
      <x:c r="K68" s="10" t="n">
        <x:f>E68-SUMIFS(E$5:E$79,$A$5:$A$79,$A68,$B$5:$B$79,$B68,$C$5:$C$79,"原始单库")</x:f>
        <x:v>-0.032169711600662176</x:v>
      </x:c>
      <x:c r="L68" s="10" t="n">
        <x:f>F68-SUMIFS(F$5:F$79,$A$5:$A$79,$A68,$B$5:$B$79,$B68,$C$5:$C$79,"原始单库")</x:f>
        <x:v>-0.03189717726578034</x:v>
      </x:c>
    </x:row>
    <x:row r="69" ht="22" customHeight="1">
      <x:c r="A69" s="2" t="str">
        <x:v>transistor</x:v>
      </x:c>
      <x:c r="B69" s="2" t="n">
        <x:v>2</x:v>
      </x:c>
      <x:c r="C69" s="2" t="str">
        <x:v>收缩0.25</x:v>
      </x:c>
      <x:c r="D69" s="9" t="n">
        <x:v>0.96375</x:v>
      </x:c>
      <x:c r="E69" s="9" t="n">
        <x:v>0.9489423540487583</x:v>
      </x:c>
      <x:c r="F69" s="9" t="n">
        <x:v>0.9166574872931726</x:v>
      </x:c>
      <x:c r="G69" s="10" t="n">
        <x:f>D69-SUMIFS(D$5:D$79,$A$5:$A$79,$A69,$B$5:$B$79,$B69,$C$5:$C$79,"双分支固定")</x:f>
        <x:v>0</x:v>
      </x:c>
      <x:c r="H69" s="10" t="n">
        <x:f>E69-SUMIFS(E$5:E$79,$A$5:$A$79,$A69,$B$5:$B$79,$B69,$C$5:$C$79,"双分支固定")</x:f>
        <x:v>-0.005815412758423122</x:v>
      </x:c>
      <x:c r="I69" s="10" t="n">
        <x:f>F69-SUMIFS(F$5:F$79,$A$5:$A$79,$A69,$B$5:$B$79,$B69,$C$5:$C$79,"双分支固定")</x:f>
        <x:v>-0.0065467126912609475</x:v>
      </x:c>
      <x:c r="J69" s="10" t="n">
        <x:f>D69-SUMIFS(D$5:D$79,$A$5:$A$79,$A69,$B$5:$B$79,$B69,$C$5:$C$79,"原始单库")</x:f>
        <x:v>-0.03541666666666665</x:v>
      </x:c>
      <x:c r="K69" s="10" t="n">
        <x:f>E69-SUMIFS(E$5:E$79,$A$5:$A$79,$A69,$B$5:$B$79,$B69,$C$5:$C$79,"原始单库")</x:f>
        <x:v>0.0021838371143780844</x:v>
      </x:c>
      <x:c r="L69" s="10" t="n">
        <x:f>F69-SUMIFS(F$5:F$79,$A$5:$A$79,$A69,$B$5:$B$79,$B69,$C$5:$C$79,"原始单库")</x:f>
        <x:v>0.0028848754846434455</x:v>
      </x:c>
    </x:row>
    <x:row r="70" ht="22" customHeight="1">
      <x:c r="A70" s="2" t="str">
        <x:v>transistor</x:v>
      </x:c>
      <x:c r="B70" s="2" t="n">
        <x:v>3</x:v>
      </x:c>
      <x:c r="C70" s="2" t="str">
        <x:v>原始单库</x:v>
      </x:c>
      <x:c r="D70" s="9" t="n">
        <x:v>0.9987499999999999</x:v>
      </x:c>
      <x:c r="E70" s="9" t="n">
        <x:v>0.9511497923130674</x:v>
      </x:c>
      <x:c r="F70" s="9" t="n">
        <x:v>0.918305027099077</x:v>
      </x:c>
      <x:c r="G70" s="10" t="n">
        <x:f>D70-SUMIFS(D$5:D$79,$A$5:$A$79,$A70,$B$5:$B$79,$B70,$C$5:$C$79,"双分支固定")</x:f>
        <x:v>0.036666666666666625</x:v>
      </x:c>
      <x:c r="H70" s="10" t="n">
        <x:f>E70-SUMIFS(E$5:E$79,$A$5:$A$79,$A70,$B$5:$B$79,$B70,$C$5:$C$79,"双分支固定")</x:f>
        <x:v>-0.012407361829230745</x:v>
      </x:c>
      <x:c r="I70" s="10" t="n">
        <x:f>F70-SUMIFS(F$5:F$79,$A$5:$A$79,$A70,$B$5:$B$79,$B70,$C$5:$C$79,"双分支固定")</x:f>
        <x:v>-0.011497089550541628</x:v>
      </x:c>
      <x:c r="J70" s="10" t="n">
        <x:f>D70-SUMIFS(D$5:D$79,$A$5:$A$79,$A70,$B$5:$B$79,$B70,$C$5:$C$79,"原始单库")</x:f>
        <x:v>0</x:v>
      </x:c>
      <x:c r="K70" s="10" t="n">
        <x:f>E70-SUMIFS(E$5:E$79,$A$5:$A$79,$A70,$B$5:$B$79,$B70,$C$5:$C$79,"原始单库")</x:f>
        <x:v>0</x:v>
      </x:c>
      <x:c r="L70" s="10" t="n">
        <x:f>F70-SUMIFS(F$5:F$79,$A$5:$A$79,$A70,$B$5:$B$79,$B70,$C$5:$C$79,"原始单库")</x:f>
        <x:v>0</x:v>
      </x:c>
    </x:row>
    <x:row r="71" ht="22" customHeight="1">
      <x:c r="A71" s="2" t="str">
        <x:v>transistor</x:v>
      </x:c>
      <x:c r="B71" s="2" t="n">
        <x:v>3</x:v>
      </x:c>
      <x:c r="C71" s="2" t="str">
        <x:v>双分支固定</x:v>
      </x:c>
      <x:c r="D71" s="9" t="n">
        <x:v>0.9620833333333333</x:v>
      </x:c>
      <x:c r="E71" s="9" t="n">
        <x:v>0.9635571541422981</x:v>
      </x:c>
      <x:c r="F71" s="9" t="n">
        <x:v>0.9298021166496186</x:v>
      </x:c>
      <x:c r="G71" s="10" t="n">
        <x:f>D71-SUMIFS(D$5:D$79,$A$5:$A$79,$A71,$B$5:$B$79,$B71,$C$5:$C$79,"双分支固定")</x:f>
        <x:v>0</x:v>
      </x:c>
      <x:c r="H71" s="10" t="n">
        <x:f>E71-SUMIFS(E$5:E$79,$A$5:$A$79,$A71,$B$5:$B$79,$B71,$C$5:$C$79,"双分支固定")</x:f>
        <x:v>0</x:v>
      </x:c>
      <x:c r="I71" s="10" t="n">
        <x:f>F71-SUMIFS(F$5:F$79,$A$5:$A$79,$A71,$B$5:$B$79,$B71,$C$5:$C$79,"双分支固定")</x:f>
        <x:v>0</x:v>
      </x:c>
      <x:c r="J71" s="10" t="n">
        <x:f>D71-SUMIFS(D$5:D$79,$A$5:$A$79,$A71,$B$5:$B$79,$B71,$C$5:$C$79,"原始单库")</x:f>
        <x:v>-0.036666666666666625</x:v>
      </x:c>
      <x:c r="K71" s="10" t="n">
        <x:f>E71-SUMIFS(E$5:E$79,$A$5:$A$79,$A71,$B$5:$B$79,$B71,$C$5:$C$79,"原始单库")</x:f>
        <x:v>0.012407361829230745</x:v>
      </x:c>
      <x:c r="L71" s="10" t="n">
        <x:f>F71-SUMIFS(F$5:F$79,$A$5:$A$79,$A71,$B$5:$B$79,$B71,$C$5:$C$79,"原始单库")</x:f>
        <x:v>0.011497089550541628</x:v>
      </x:c>
    </x:row>
    <x:row r="72" ht="22" customHeight="1">
      <x:c r="A72" s="2" t="str">
        <x:v>transistor</x:v>
      </x:c>
      <x:c r="B72" s="2" t="n">
        <x:v>3</x:v>
      </x:c>
      <x:c r="C72" s="2" t="str">
        <x:v>门控加收缩</x:v>
      </x:c>
      <x:c r="D72" s="9" t="n">
        <x:v>0.9620833333333333</x:v>
      </x:c>
      <x:c r="E72" s="9" t="n">
        <x:v>0.9635571541422981</x:v>
      </x:c>
      <x:c r="F72" s="9" t="n">
        <x:v>0.9298021166496186</x:v>
      </x:c>
      <x:c r="G72" s="10" t="n">
        <x:f>D72-SUMIFS(D$5:D$79,$A$5:$A$79,$A72,$B$5:$B$79,$B72,$C$5:$C$79,"双分支固定")</x:f>
        <x:v>0</x:v>
      </x:c>
      <x:c r="H72" s="10" t="n">
        <x:f>E72-SUMIFS(E$5:E$79,$A$5:$A$79,$A72,$B$5:$B$79,$B72,$C$5:$C$79,"双分支固定")</x:f>
        <x:v>0</x:v>
      </x:c>
      <x:c r="I72" s="10" t="n">
        <x:f>F72-SUMIFS(F$5:F$79,$A$5:$A$79,$A72,$B$5:$B$79,$B72,$C$5:$C$79,"双分支固定")</x:f>
        <x:v>0</x:v>
      </x:c>
      <x:c r="J72" s="10" t="n">
        <x:f>D72-SUMIFS(D$5:D$79,$A$5:$A$79,$A72,$B$5:$B$79,$B72,$C$5:$C$79,"原始单库")</x:f>
        <x:v>-0.036666666666666625</x:v>
      </x:c>
      <x:c r="K72" s="10" t="n">
        <x:f>E72-SUMIFS(E$5:E$79,$A$5:$A$79,$A72,$B$5:$B$79,$B72,$C$5:$C$79,"原始单库")</x:f>
        <x:v>0.012407361829230745</x:v>
      </x:c>
      <x:c r="L72" s="10" t="n">
        <x:f>F72-SUMIFS(F$5:F$79,$A$5:$A$79,$A72,$B$5:$B$79,$B72,$C$5:$C$79,"原始单库")</x:f>
        <x:v>0.011497089550541628</x:v>
      </x:c>
    </x:row>
    <x:row r="73" ht="22" customHeight="1">
      <x:c r="A73" s="2" t="str">
        <x:v>transistor</x:v>
      </x:c>
      <x:c r="B73" s="2" t="n">
        <x:v>3</x:v>
      </x:c>
      <x:c r="C73" s="2" t="str">
        <x:v>像素敏感性</x:v>
      </x:c>
      <x:c r="D73" s="9" t="n">
        <x:v>0.9620833333333333</x:v>
      </x:c>
      <x:c r="E73" s="9" t="n">
        <x:v>0.9021951211487883</x:v>
      </x:c>
      <x:c r="F73" s="9" t="n">
        <x:v>0.8689324348025124</x:v>
      </x:c>
      <x:c r="G73" s="10" t="n">
        <x:f>D73-SUMIFS(D$5:D$79,$A$5:$A$79,$A73,$B$5:$B$79,$B73,$C$5:$C$79,"双分支固定")</x:f>
        <x:v>0</x:v>
      </x:c>
      <x:c r="H73" s="10" t="n">
        <x:f>E73-SUMIFS(E$5:E$79,$A$5:$A$79,$A73,$B$5:$B$79,$B73,$C$5:$C$79,"双分支固定")</x:f>
        <x:v>-0.06136203299350984</x:v>
      </x:c>
      <x:c r="I73" s="10" t="n">
        <x:f>F73-SUMIFS(F$5:F$79,$A$5:$A$79,$A73,$B$5:$B$79,$B73,$C$5:$C$79,"双分支固定")</x:f>
        <x:v>-0.06086968184710628</x:v>
      </x:c>
      <x:c r="J73" s="10" t="n">
        <x:f>D73-SUMIFS(D$5:D$79,$A$5:$A$79,$A73,$B$5:$B$79,$B73,$C$5:$C$79,"原始单库")</x:f>
        <x:v>-0.036666666666666625</x:v>
      </x:c>
      <x:c r="K73" s="10" t="n">
        <x:f>E73-SUMIFS(E$5:E$79,$A$5:$A$79,$A73,$B$5:$B$79,$B73,$C$5:$C$79,"原始单库")</x:f>
        <x:v>-0.048954671164279095</x:v>
      </x:c>
      <x:c r="L73" s="10" t="n">
        <x:f>F73-SUMIFS(F$5:F$79,$A$5:$A$79,$A73,$B$5:$B$79,$B73,$C$5:$C$79,"原始单库")</x:f>
        <x:v>-0.049372592296564655</x:v>
      </x:c>
    </x:row>
    <x:row r="74" ht="22" customHeight="1">
      <x:c r="A74" s="2" t="str">
        <x:v>transistor</x:v>
      </x:c>
      <x:c r="B74" s="2" t="n">
        <x:v>3</x:v>
      </x:c>
      <x:c r="C74" s="2" t="str">
        <x:v>收缩0.25</x:v>
      </x:c>
      <x:c r="D74" s="9" t="n">
        <x:v>0.9620833333333333</x:v>
      </x:c>
      <x:c r="E74" s="9" t="n">
        <x:v>0.9556170255184254</x:v>
      </x:c>
      <x:c r="F74" s="9" t="n">
        <x:v>0.9211061833966803</x:v>
      </x:c>
      <x:c r="G74" s="10" t="n">
        <x:f>D74-SUMIFS(D$5:D$79,$A$5:$A$79,$A74,$B$5:$B$79,$B74,$C$5:$C$79,"双分支固定")</x:f>
        <x:v>0</x:v>
      </x:c>
      <x:c r="H74" s="10" t="n">
        <x:f>E74-SUMIFS(E$5:E$79,$A$5:$A$79,$A74,$B$5:$B$79,$B74,$C$5:$C$79,"双分支固定")</x:f>
        <x:v>-0.007940128623872722</x:v>
      </x:c>
      <x:c r="I74" s="10" t="n">
        <x:f>F74-SUMIFS(F$5:F$79,$A$5:$A$79,$A74,$B$5:$B$79,$B74,$C$5:$C$79,"双分支固定")</x:f>
        <x:v>-0.008695933252938381</x:v>
      </x:c>
      <x:c r="J74" s="10" t="n">
        <x:f>D74-SUMIFS(D$5:D$79,$A$5:$A$79,$A74,$B$5:$B$79,$B74,$C$5:$C$79,"原始单库")</x:f>
        <x:v>-0.036666666666666625</x:v>
      </x:c>
      <x:c r="K74" s="10" t="n">
        <x:f>E74-SUMIFS(E$5:E$79,$A$5:$A$79,$A74,$B$5:$B$79,$B74,$C$5:$C$79,"原始单库")</x:f>
        <x:v>0.004467233205358023</x:v>
      </x:c>
      <x:c r="L74" s="10" t="n">
        <x:f>F74-SUMIFS(F$5:F$79,$A$5:$A$79,$A74,$B$5:$B$79,$B74,$C$5:$C$79,"原始单库")</x:f>
        <x:v>0.0028011562976032467</x:v>
      </x:c>
    </x:row>
    <x:row r="75" ht="22" customHeight="1">
      <x:c r="A75" s="2" t="str">
        <x:v>transistor</x:v>
      </x:c>
      <x:c r="B75" s="2" t="n">
        <x:v>4</x:v>
      </x:c>
      <x:c r="C75" s="2" t="str">
        <x:v>原始单库</x:v>
      </x:c>
      <x:c r="D75" s="9" t="n">
        <x:v>0.9979166666666667</x:v>
      </x:c>
      <x:c r="E75" s="9" t="n">
        <x:v>0.9504526869883819</x:v>
      </x:c>
      <x:c r="F75" s="9" t="n">
        <x:v>0.9182271177371433</x:v>
      </x:c>
      <x:c r="G75" s="10" t="n">
        <x:f>D75-SUMIFS(D$5:D$79,$A$5:$A$79,$A75,$B$5:$B$79,$B75,$C$5:$C$79,"双分支固定")</x:f>
        <x:v>0.025000000000000022</x:v>
      </x:c>
      <x:c r="H75" s="10" t="n">
        <x:f>E75-SUMIFS(E$5:E$79,$A$5:$A$79,$A75,$B$5:$B$79,$B75,$C$5:$C$79,"双分支固定")</x:f>
        <x:v>-0.017830017559279376</x:v>
      </x:c>
      <x:c r="I75" s="10" t="n">
        <x:f>F75-SUMIFS(F$5:F$79,$A$5:$A$79,$A75,$B$5:$B$79,$B75,$C$5:$C$79,"双分支固定")</x:f>
        <x:v>-0.01856975595534427</x:v>
      </x:c>
      <x:c r="J75" s="10" t="n">
        <x:f>D75-SUMIFS(D$5:D$79,$A$5:$A$79,$A75,$B$5:$B$79,$B75,$C$5:$C$79,"原始单库")</x:f>
        <x:v>0</x:v>
      </x:c>
      <x:c r="K75" s="10" t="n">
        <x:f>E75-SUMIFS(E$5:E$79,$A$5:$A$79,$A75,$B$5:$B$79,$B75,$C$5:$C$79,"原始单库")</x:f>
        <x:v>0</x:v>
      </x:c>
      <x:c r="L75" s="10" t="n">
        <x:f>F75-SUMIFS(F$5:F$79,$A$5:$A$79,$A75,$B$5:$B$79,$B75,$C$5:$C$79,"原始单库")</x:f>
        <x:v>0</x:v>
      </x:c>
    </x:row>
    <x:row r="76" ht="22" customHeight="1">
      <x:c r="A76" s="2" t="str">
        <x:v>transistor</x:v>
      </x:c>
      <x:c r="B76" s="2" t="n">
        <x:v>4</x:v>
      </x:c>
      <x:c r="C76" s="2" t="str">
        <x:v>双分支固定</x:v>
      </x:c>
      <x:c r="D76" s="9" t="n">
        <x:v>0.9729166666666667</x:v>
      </x:c>
      <x:c r="E76" s="9" t="n">
        <x:v>0.9682827045476613</x:v>
      </x:c>
      <x:c r="F76" s="9" t="n">
        <x:v>0.9367968736924875</x:v>
      </x:c>
      <x:c r="G76" s="10" t="n">
        <x:f>D76-SUMIFS(D$5:D$79,$A$5:$A$79,$A76,$B$5:$B$79,$B76,$C$5:$C$79,"双分支固定")</x:f>
        <x:v>0</x:v>
      </x:c>
      <x:c r="H76" s="10" t="n">
        <x:f>E76-SUMIFS(E$5:E$79,$A$5:$A$79,$A76,$B$5:$B$79,$B76,$C$5:$C$79,"双分支固定")</x:f>
        <x:v>0</x:v>
      </x:c>
      <x:c r="I76" s="10" t="n">
        <x:f>F76-SUMIFS(F$5:F$79,$A$5:$A$79,$A76,$B$5:$B$79,$B76,$C$5:$C$79,"双分支固定")</x:f>
        <x:v>0</x:v>
      </x:c>
      <x:c r="J76" s="10" t="n">
        <x:f>D76-SUMIFS(D$5:D$79,$A$5:$A$79,$A76,$B$5:$B$79,$B76,$C$5:$C$79,"原始单库")</x:f>
        <x:v>-0.025000000000000022</x:v>
      </x:c>
      <x:c r="K76" s="10" t="n">
        <x:f>E76-SUMIFS(E$5:E$79,$A$5:$A$79,$A76,$B$5:$B$79,$B76,$C$5:$C$79,"原始单库")</x:f>
        <x:v>0.017830017559279376</x:v>
      </x:c>
      <x:c r="L76" s="10" t="n">
        <x:f>F76-SUMIFS(F$5:F$79,$A$5:$A$79,$A76,$B$5:$B$79,$B76,$C$5:$C$79,"原始单库")</x:f>
        <x:v>0.01856975595534427</x:v>
      </x:c>
    </x:row>
    <x:row r="77" ht="22" customHeight="1">
      <x:c r="A77" s="2" t="str">
        <x:v>transistor</x:v>
      </x:c>
      <x:c r="B77" s="2" t="n">
        <x:v>4</x:v>
      </x:c>
      <x:c r="C77" s="2" t="str">
        <x:v>门控加收缩</x:v>
      </x:c>
      <x:c r="D77" s="9" t="n">
        <x:v>0.9729166666666667</x:v>
      </x:c>
      <x:c r="E77" s="9" t="n">
        <x:v>0.9643201515552271</x:v>
      </x:c>
      <x:c r="F77" s="9" t="n">
        <x:v>0.9322995392314524</x:v>
      </x:c>
      <x:c r="G77" s="10" t="n">
        <x:f>D77-SUMIFS(D$5:D$79,$A$5:$A$79,$A77,$B$5:$B$79,$B77,$C$5:$C$79,"双分支固定")</x:f>
        <x:v>0</x:v>
      </x:c>
      <x:c r="H77" s="10" t="n">
        <x:f>E77-SUMIFS(E$5:E$79,$A$5:$A$79,$A77,$B$5:$B$79,$B77,$C$5:$C$79,"双分支固定")</x:f>
        <x:v>-0.0039625529924341985</x:v>
      </x:c>
      <x:c r="I77" s="10" t="n">
        <x:f>F77-SUMIFS(F$5:F$79,$A$5:$A$79,$A77,$B$5:$B$79,$B77,$C$5:$C$79,"双分支固定")</x:f>
        <x:v>-0.004497334461035174</x:v>
      </x:c>
      <x:c r="J77" s="10" t="n">
        <x:f>D77-SUMIFS(D$5:D$79,$A$5:$A$79,$A77,$B$5:$B$79,$B77,$C$5:$C$79,"原始单库")</x:f>
        <x:v>-0.025000000000000022</x:v>
      </x:c>
      <x:c r="K77" s="10" t="n">
        <x:f>E77-SUMIFS(E$5:E$79,$A$5:$A$79,$A77,$B$5:$B$79,$B77,$C$5:$C$79,"原始单库")</x:f>
        <x:v>0.013867464566845178</x:v>
      </x:c>
      <x:c r="L77" s="10" t="n">
        <x:f>F77-SUMIFS(F$5:F$79,$A$5:$A$79,$A77,$B$5:$B$79,$B77,$C$5:$C$79,"原始单库")</x:f>
        <x:v>0.014072421494309095</x:v>
      </x:c>
    </x:row>
    <x:row r="78" ht="22" customHeight="1">
      <x:c r="A78" s="2" t="str">
        <x:v>transistor</x:v>
      </x:c>
      <x:c r="B78" s="2" t="n">
        <x:v>4</x:v>
      </x:c>
      <x:c r="C78" s="2" t="str">
        <x:v>像素敏感性</x:v>
      </x:c>
      <x:c r="D78" s="9" t="n">
        <x:v>0.9729166666666667</x:v>
      </x:c>
      <x:c r="E78" s="9" t="n">
        <x:v>0.9430374930584448</x:v>
      </x:c>
      <x:c r="F78" s="9" t="n">
        <x:v>0.9103125136306973</x:v>
      </x:c>
      <x:c r="G78" s="10" t="n">
        <x:f>D78-SUMIFS(D$5:D$79,$A$5:$A$79,$A78,$B$5:$B$79,$B78,$C$5:$C$79,"双分支固定")</x:f>
        <x:v>0</x:v>
      </x:c>
      <x:c r="H78" s="10" t="n">
        <x:f>E78-SUMIFS(E$5:E$79,$A$5:$A$79,$A78,$B$5:$B$79,$B78,$C$5:$C$79,"双分支固定")</x:f>
        <x:v>-0.025245211489216546</x:v>
      </x:c>
      <x:c r="I78" s="10" t="n">
        <x:f>F78-SUMIFS(F$5:F$79,$A$5:$A$79,$A78,$B$5:$B$79,$B78,$C$5:$C$79,"双分支固定")</x:f>
        <x:v>-0.026484360061790224</x:v>
      </x:c>
      <x:c r="J78" s="10" t="n">
        <x:f>D78-SUMIFS(D$5:D$79,$A$5:$A$79,$A78,$B$5:$B$79,$B78,$C$5:$C$79,"原始单库")</x:f>
        <x:v>-0.025000000000000022</x:v>
      </x:c>
      <x:c r="K78" s="10" t="n">
        <x:f>E78-SUMIFS(E$5:E$79,$A$5:$A$79,$A78,$B$5:$B$79,$B78,$C$5:$C$79,"原始单库")</x:f>
        <x:v>-0.007415193929937169</x:v>
      </x:c>
      <x:c r="L78" s="10" t="n">
        <x:f>F78-SUMIFS(F$5:F$79,$A$5:$A$79,$A78,$B$5:$B$79,$B78,$C$5:$C$79,"原始单库")</x:f>
        <x:v>-0.007914604106445955</x:v>
      </x:c>
    </x:row>
    <x:row r="79" ht="22" customHeight="1">
      <x:c r="A79" s="2" t="str">
        <x:v>transistor</x:v>
      </x:c>
      <x:c r="B79" s="2" t="n">
        <x:v>4</x:v>
      </x:c>
      <x:c r="C79" s="2" t="str">
        <x:v>收缩0.25</x:v>
      </x:c>
      <x:c r="D79" s="9" t="n">
        <x:v>0.9729166666666667</x:v>
      </x:c>
      <x:c r="E79" s="9" t="n">
        <x:v>0.9643201515552271</x:v>
      </x:c>
      <x:c r="F79" s="9" t="n">
        <x:v>0.9322995392314524</x:v>
      </x:c>
      <x:c r="G79" s="10" t="n">
        <x:f>D79-SUMIFS(D$5:D$79,$A$5:$A$79,$A79,$B$5:$B$79,$B79,$C$5:$C$79,"双分支固定")</x:f>
        <x:v>0</x:v>
      </x:c>
      <x:c r="H79" s="10" t="n">
        <x:f>E79-SUMIFS(E$5:E$79,$A$5:$A$79,$A79,$B$5:$B$79,$B79,$C$5:$C$79,"双分支固定")</x:f>
        <x:v>-0.0039625529924341985</x:v>
      </x:c>
      <x:c r="I79" s="10" t="n">
        <x:f>F79-SUMIFS(F$5:F$79,$A$5:$A$79,$A79,$B$5:$B$79,$B79,$C$5:$C$79,"双分支固定")</x:f>
        <x:v>-0.004497334461035174</x:v>
      </x:c>
      <x:c r="J79" s="10" t="n">
        <x:f>D79-SUMIFS(D$5:D$79,$A$5:$A$79,$A79,$B$5:$B$79,$B79,$C$5:$C$79,"原始单库")</x:f>
        <x:v>-0.025000000000000022</x:v>
      </x:c>
      <x:c r="K79" s="10" t="n">
        <x:f>E79-SUMIFS(E$5:E$79,$A$5:$A$79,$A79,$B$5:$B$79,$B79,$C$5:$C$79,"原始单库")</x:f>
        <x:v>0.013867464566845178</x:v>
      </x:c>
      <x:c r="L79" s="10" t="n">
        <x:f>F79-SUMIFS(F$5:F$79,$A$5:$A$79,$A79,$B$5:$B$79,$B79,$C$5:$C$79,"原始单库")</x:f>
        <x:v>0.014072421494309095</x:v>
      </x:c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 ht="22" customHeight="1">
      <x:c r="A83" s="2" t="str">
        <x:v>阶段计时：单位秒。dual 是共享四方案流程；校准为一次性开销，不是逐图推理开销。</x:v>
      </x:c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 ht="34" customHeight="1">
      <x:c r="A85" s="8" t="str">
        <x:v>类别</x:v>
      </x:c>
      <x:c r="B85" s="8" t="str">
        <x:v>seed</x:v>
      </x:c>
      <x:c r="C85" s="8" t="str">
        <x:v>运行结构</x:v>
      </x:c>
      <x:c r="D85" s="8" t="str">
        <x:v>Fit秒</x:v>
      </x:c>
      <x:c r="E85" s="8" t="str">
        <x:v>校准秒</x:v>
      </x:c>
      <x:c r="F85" s="8" t="str">
        <x:v>Predict秒</x:v>
      </x:c>
      <x:c r="G85" s="8" t="str">
        <x:v>三阶段总秒</x:v>
      </x:c>
      <x:c r="H85" s="8" t="str">
        <x:v>指标计算秒</x:v>
      </x:c>
      <x:c r="I85" s="8" t="str">
        <x:v>保存前墙钟秒</x:v>
      </x:c>
      <x:c r="J85" s="8" t="str">
        <x:v>记忆库行数</x:v>
      </x:c>
      <x:c r="K85" s="2"/>
      <x:c r="L85" s="2"/>
    </x:row>
    <x:row r="86" ht="22" customHeight="1">
      <x:c r="A86" s="2" t="str">
        <x:v>bottle</x:v>
      </x:c>
      <x:c r="B86" s="2" t="n">
        <x:v>0</x:v>
      </x:c>
      <x:c r="C86" s="2" t="str">
        <x:v>原始单库</x:v>
      </x:c>
      <x:c r="D86" s="12" t="n">
        <x:v>11.01125049998518</x:v>
      </x:c>
      <x:c r="E86" s="12" t="n">
        <x:v>0</x:v>
      </x:c>
      <x:c r="F86" s="12" t="n">
        <x:v>7.356736100045964</x:v>
      </x:c>
      <x:c r="G86" s="12" t="n">
        <x:v>18.367986600031145</x:v>
      </x:c>
      <x:c r="H86" s="12" t="n">
        <x:v>3.763821200001985</x:v>
      </x:c>
      <x:c r="I86" s="12" t="n">
        <x:v>23.27179430000251</x:v>
      </x:c>
      <x:c r="J86" s="13" t="n">
        <x:v>1309</x:v>
      </x:c>
      <x:c r="K86" s="2"/>
      <x:c r="L86" s="2"/>
    </x:row>
    <x:row r="87" ht="22" customHeight="1">
      <x:c r="A87" s="2" t="str">
        <x:v>bottle</x:v>
      </x:c>
      <x:c r="B87" s="2" t="n">
        <x:v>0</x:v>
      </x:c>
      <x:c r="C87" s="2" t="str">
        <x:v>双分支门控</x:v>
      </x:c>
      <x:c r="D87" s="12" t="n">
        <x:v>14.077139300003182</x:v>
      </x:c>
      <x:c r="E87" s="12" t="n">
        <x:v>7.499908400001004</x:v>
      </x:c>
      <x:c r="F87" s="12" t="n">
        <x:v>7.155454599938821</x:v>
      </x:c>
      <x:c r="G87" s="12" t="n">
        <x:v>28.732502299943008</x:v>
      </x:c>
      <x:c r="H87" s="12" t="n">
        <x:v>10.962362700025551</x:v>
      </x:c>
      <x:c r="I87" s="12" t="n">
        <x:v>41.44980179995764</x:v>
      </x:c>
      <x:c r="J87" s="13" t="n">
        <x:v>1636</x:v>
      </x:c>
      <x:c r="K87" s="2"/>
      <x:c r="L87" s="2"/>
    </x:row>
    <x:row r="88" ht="22" customHeight="1">
      <x:c r="A88" s="2" t="str">
        <x:v>bottle</x:v>
      </x:c>
      <x:c r="B88" s="2" t="n">
        <x:v>1</x:v>
      </x:c>
      <x:c r="C88" s="2" t="str">
        <x:v>原始单库</x:v>
      </x:c>
      <x:c r="D88" s="12" t="n">
        <x:v>9.49743629997829</x:v>
      </x:c>
      <x:c r="E88" s="12" t="n">
        <x:v>0</x:v>
      </x:c>
      <x:c r="F88" s="12" t="n">
        <x:v>5.251569599960931</x:v>
      </x:c>
      <x:c r="G88" s="12" t="n">
        <x:v>14.74900589993922</x:v>
      </x:c>
      <x:c r="H88" s="12" t="n">
        <x:v>3.7749532999587245</x:v>
      </x:c>
      <x:c r="I88" s="12" t="n">
        <x:v>19.496871299983468</x:v>
      </x:c>
      <x:c r="J88" s="13" t="n">
        <x:v>1309</x:v>
      </x:c>
      <x:c r="K88" s="2"/>
      <x:c r="L88" s="2"/>
    </x:row>
    <x:row r="89" ht="22" customHeight="1">
      <x:c r="A89" s="2" t="str">
        <x:v>bottle</x:v>
      </x:c>
      <x:c r="B89" s="2" t="n">
        <x:v>1</x:v>
      </x:c>
      <x:c r="C89" s="2" t="str">
        <x:v>双分支门控</x:v>
      </x:c>
      <x:c r="D89" s="12" t="n">
        <x:v>13.105320300033782</x:v>
      </x:c>
      <x:c r="E89" s="12" t="n">
        <x:v>7.092131999961566</x:v>
      </x:c>
      <x:c r="F89" s="12" t="n">
        <x:v>7.198323299991898</x:v>
      </x:c>
      <x:c r="G89" s="12" t="n">
        <x:v>27.395775599987246</x:v>
      </x:c>
      <x:c r="H89" s="12" t="n">
        <x:v>10.563056599989068</x:v>
      </x:c>
      <x:c r="I89" s="12" t="n">
        <x:v>39.627132800000254</x:v>
      </x:c>
      <x:c r="J89" s="13" t="n">
        <x:v>1636</x:v>
      </x:c>
      <x:c r="K89" s="2"/>
      <x:c r="L89" s="2"/>
    </x:row>
    <x:row r="90" ht="22" customHeight="1">
      <x:c r="A90" s="2" t="str">
        <x:v>bottle</x:v>
      </x:c>
      <x:c r="B90" s="2" t="n">
        <x:v>2</x:v>
      </x:c>
      <x:c r="C90" s="2" t="str">
        <x:v>原始单库</x:v>
      </x:c>
      <x:c r="D90" s="12" t="n">
        <x:v>9.235059300030116</x:v>
      </x:c>
      <x:c r="E90" s="12" t="n">
        <x:v>0</x:v>
      </x:c>
      <x:c r="F90" s="12" t="n">
        <x:v>5.560872100002598</x:v>
      </x:c>
      <x:c r="G90" s="12" t="n">
        <x:v>14.795931400032714</x:v>
      </x:c>
      <x:c r="H90" s="12" t="n">
        <x:v>3.693913600000087</x:v>
      </x:c>
      <x:c r="I90" s="12" t="n">
        <x:v>19.498853600001894</x:v>
      </x:c>
      <x:c r="J90" s="13" t="n">
        <x:v>1309</x:v>
      </x:c>
      <x:c r="K90" s="2"/>
      <x:c r="L90" s="2"/>
    </x:row>
    <x:row r="91" ht="22" customHeight="1">
      <x:c r="A91" s="2" t="str">
        <x:v>bottle</x:v>
      </x:c>
      <x:c r="B91" s="2" t="n">
        <x:v>2</x:v>
      </x:c>
      <x:c r="C91" s="2" t="str">
        <x:v>双分支门控</x:v>
      </x:c>
      <x:c r="D91" s="12" t="n">
        <x:v>13.37360669998452</x:v>
      </x:c>
      <x:c r="E91" s="12" t="n">
        <x:v>7.307493400003295</x:v>
      </x:c>
      <x:c r="F91" s="12" t="n">
        <x:v>7.218172800028697</x:v>
      </x:c>
      <x:c r="G91" s="12" t="n">
        <x:v>27.899272900016513</x:v>
      </x:c>
      <x:c r="H91" s="12" t="n">
        <x:v>10.818907400011085</x:v>
      </x:c>
      <x:c r="I91" s="12" t="n">
        <x:v>40.46080659999279</x:v>
      </x:c>
      <x:c r="J91" s="13" t="n">
        <x:v>1636</x:v>
      </x:c>
      <x:c r="K91" s="2"/>
      <x:c r="L91" s="2"/>
    </x:row>
    <x:row r="92" ht="22" customHeight="1">
      <x:c r="A92" s="2" t="str">
        <x:v>bottle</x:v>
      </x:c>
      <x:c r="B92" s="2" t="n">
        <x:v>3</x:v>
      </x:c>
      <x:c r="C92" s="2" t="str">
        <x:v>原始单库</x:v>
      </x:c>
      <x:c r="D92" s="12" t="n">
        <x:v>9.365505900001153</x:v>
      </x:c>
      <x:c r="E92" s="12" t="n">
        <x:v>0</x:v>
      </x:c>
      <x:c r="F92" s="12" t="n">
        <x:v>4.917417400050908</x:v>
      </x:c>
      <x:c r="G92" s="12" t="n">
        <x:v>14.282923300052062</x:v>
      </x:c>
      <x:c r="H92" s="12" t="n">
        <x:v>3.691802399989683</x:v>
      </x:c>
      <x:c r="I92" s="12" t="n">
        <x:v>19.05650569999125</x:v>
      </x:c>
      <x:c r="J92" s="13" t="n">
        <x:v>1309</x:v>
      </x:c>
      <x:c r="K92" s="2"/>
      <x:c r="L92" s="2"/>
    </x:row>
    <x:row r="93" ht="22" customHeight="1">
      <x:c r="A93" s="2" t="str">
        <x:v>bottle</x:v>
      </x:c>
      <x:c r="B93" s="2" t="n">
        <x:v>3</x:v>
      </x:c>
      <x:c r="C93" s="2" t="str">
        <x:v>双分支门控</x:v>
      </x:c>
      <x:c r="D93" s="12" t="n">
        <x:v>12.815316099964548</x:v>
      </x:c>
      <x:c r="E93" s="12" t="n">
        <x:v>7.654650099982973</x:v>
      </x:c>
      <x:c r="F93" s="12" t="n">
        <x:v>7.417262100032531</x:v>
      </x:c>
      <x:c r="G93" s="12" t="n">
        <x:v>27.887228299980052</x:v>
      </x:c>
      <x:c r="H93" s="12" t="n">
        <x:v>10.897943100018892</x:v>
      </x:c>
      <x:c r="I93" s="12" t="n">
        <x:v>40.42171630001394</x:v>
      </x:c>
      <x:c r="J93" s="13" t="n">
        <x:v>1636</x:v>
      </x:c>
      <x:c r="K93" s="2"/>
      <x:c r="L93" s="2"/>
    </x:row>
    <x:row r="94" ht="22" customHeight="1">
      <x:c r="A94" s="2" t="str">
        <x:v>bottle</x:v>
      </x:c>
      <x:c r="B94" s="2" t="n">
        <x:v>4</x:v>
      </x:c>
      <x:c r="C94" s="2" t="str">
        <x:v>原始单库</x:v>
      </x:c>
      <x:c r="D94" s="12" t="n">
        <x:v>9.350594700023066</x:v>
      </x:c>
      <x:c r="E94" s="12" t="n">
        <x:v>0</x:v>
      </x:c>
      <x:c r="F94" s="12" t="n">
        <x:v>4.774979599984363</x:v>
      </x:c>
      <x:c r="G94" s="12" t="n">
        <x:v>14.125574300007429</x:v>
      </x:c>
      <x:c r="H94" s="12" t="n">
        <x:v>3.6894999999785796</x:v>
      </x:c>
      <x:c r="I94" s="12" t="n">
        <x:v>18.798226799990516</x:v>
      </x:c>
      <x:c r="J94" s="13" t="n">
        <x:v>1309</x:v>
      </x:c>
      <x:c r="K94" s="2"/>
      <x:c r="L94" s="2"/>
    </x:row>
    <x:row r="95" ht="22" customHeight="1">
      <x:c r="A95" s="2" t="str">
        <x:v>bottle</x:v>
      </x:c>
      <x:c r="B95" s="2" t="n">
        <x:v>4</x:v>
      </x:c>
      <x:c r="C95" s="2" t="str">
        <x:v>双分支门控</x:v>
      </x:c>
      <x:c r="D95" s="12" t="n">
        <x:v>12.812131599988788</x:v>
      </x:c>
      <x:c r="E95" s="12" t="n">
        <x:v>7.209944500005804</x:v>
      </x:c>
      <x:c r="F95" s="12" t="n">
        <x:v>7.1332316000480205</x:v>
      </x:c>
      <x:c r="G95" s="12" t="n">
        <x:v>27.155307700042613</x:v>
      </x:c>
      <x:c r="H95" s="12" t="n">
        <x:v>10.790831800026353</x:v>
      </x:c>
      <x:c r="I95" s="12" t="n">
        <x:v>39.569007199956104</x:v>
      </x:c>
      <x:c r="J95" s="13" t="n">
        <x:v>1636</x:v>
      </x:c>
      <x:c r="K95" s="2"/>
      <x:c r="L95" s="2"/>
    </x:row>
    <x:row r="96" ht="22" customHeight="1">
      <x:c r="A96" s="2" t="str">
        <x:v>pill</x:v>
      </x:c>
      <x:c r="B96" s="2" t="n">
        <x:v>0</x:v>
      </x:c>
      <x:c r="C96" s="2" t="str">
        <x:v>原始单库</x:v>
      </x:c>
      <x:c r="D96" s="12" t="n">
        <x:v>13.80672950000735</x:v>
      </x:c>
      <x:c r="E96" s="12" t="n">
        <x:v>0</x:v>
      </x:c>
      <x:c r="F96" s="12" t="n">
        <x:v>12.172294999996666</x:v>
      </x:c>
      <x:c r="G96" s="12" t="n">
        <x:v>25.979024500004016</x:v>
      </x:c>
      <x:c r="H96" s="12" t="n">
        <x:v>10.229577500023879</x:v>
      </x:c>
      <x:c r="I96" s="12" t="n">
        <x:v>37.37507250002818</x:v>
      </x:c>
      <x:c r="J96" s="13" t="n">
        <x:v>1669</x:v>
      </x:c>
      <x:c r="K96" s="2"/>
      <x:c r="L96" s="2"/>
    </x:row>
    <x:row r="97" ht="22" customHeight="1">
      <x:c r="A97" s="2" t="str">
        <x:v>pill</x:v>
      </x:c>
      <x:c r="B97" s="2" t="n">
        <x:v>0</x:v>
      </x:c>
      <x:c r="C97" s="2" t="str">
        <x:v>双分支门控</x:v>
      </x:c>
      <x:c r="D97" s="12" t="n">
        <x:v>17.115553300012834</x:v>
      </x:c>
      <x:c r="E97" s="12" t="n">
        <x:v>7.8723270000191405</x:v>
      </x:c>
      <x:c r="F97" s="12" t="n">
        <x:v>14.916197500075214</x:v>
      </x:c>
      <x:c r="G97" s="12" t="n">
        <x:v>39.90407780010719</x:v>
      </x:c>
      <x:c r="H97" s="12" t="n">
        <x:v>22.779823200020473</x:v>
      </x:c>
      <x:c r="I97" s="12" t="n">
        <x:v>64.45765799999936</x:v>
      </x:c>
      <x:c r="J97" s="13" t="n">
        <x:v>2086</x:v>
      </x:c>
      <x:c r="K97" s="2"/>
      <x:c r="L97" s="2"/>
    </x:row>
    <x:row r="98" ht="22" customHeight="1">
      <x:c r="A98" s="2" t="str">
        <x:v>pill</x:v>
      </x:c>
      <x:c r="B98" s="2" t="n">
        <x:v>1</x:v>
      </x:c>
      <x:c r="C98" s="2" t="str">
        <x:v>原始单库</x:v>
      </x:c>
      <x:c r="D98" s="12" t="n">
        <x:v>11.689558400015812</x:v>
      </x:c>
      <x:c r="E98" s="12" t="n">
        <x:v>0</x:v>
      </x:c>
      <x:c r="F98" s="12" t="n">
        <x:v>10.475866099994164</x:v>
      </x:c>
      <x:c r="G98" s="12" t="n">
        <x:v>22.165424500009976</x:v>
      </x:c>
      <x:c r="H98" s="12" t="n">
        <x:v>7.783360700006597</x:v>
      </x:c>
      <x:c r="I98" s="12" t="n">
        <x:v>30.967143500049133</x:v>
      </x:c>
      <x:c r="J98" s="13" t="n">
        <x:v>1669</x:v>
      </x:c>
      <x:c r="K98" s="2"/>
      <x:c r="L98" s="2"/>
    </x:row>
    <x:row r="99" ht="22" customHeight="1">
      <x:c r="A99" s="2" t="str">
        <x:v>pill</x:v>
      </x:c>
      <x:c r="B99" s="2" t="n">
        <x:v>1</x:v>
      </x:c>
      <x:c r="C99" s="2" t="str">
        <x:v>双分支门控</x:v>
      </x:c>
      <x:c r="D99" s="12" t="n">
        <x:v>15.86545069993008</x:v>
      </x:c>
      <x:c r="E99" s="12" t="n">
        <x:v>7.963122099987231</x:v>
      </x:c>
      <x:c r="F99" s="12" t="n">
        <x:v>13.66545709996717</x:v>
      </x:c>
      <x:c r="G99" s="12" t="n">
        <x:v>37.49402989988448</x:v>
      </x:c>
      <x:c r="H99" s="12" t="n">
        <x:v>22.556357599969488</x:v>
      </x:c>
      <x:c r="I99" s="12" t="n">
        <x:v>61.76888350001536</x:v>
      </x:c>
      <x:c r="J99" s="13" t="n">
        <x:v>2086</x:v>
      </x:c>
      <x:c r="K99" s="2"/>
      <x:c r="L99" s="2"/>
    </x:row>
    <x:row r="100" ht="22" customHeight="1">
      <x:c r="A100" s="2" t="str">
        <x:v>pill</x:v>
      </x:c>
      <x:c r="B100" s="2" t="n">
        <x:v>2</x:v>
      </x:c>
      <x:c r="C100" s="2" t="str">
        <x:v>原始单库</x:v>
      </x:c>
      <x:c r="D100" s="12" t="n">
        <x:v>12.849168799992185</x:v>
      </x:c>
      <x:c r="E100" s="12" t="n">
        <x:v>0</x:v>
      </x:c>
      <x:c r="F100" s="12" t="n">
        <x:v>10.482806700048968</x:v>
      </x:c>
      <x:c r="G100" s="12" t="n">
        <x:v>23.331975500041153</x:v>
      </x:c>
      <x:c r="H100" s="12" t="n">
        <x:v>7.953871999983676</x:v>
      </x:c>
      <x:c r="I100" s="12" t="n">
        <x:v>32.40094590000808</x:v>
      </x:c>
      <x:c r="J100" s="13" t="n">
        <x:v>1669</x:v>
      </x:c>
      <x:c r="K100" s="2"/>
      <x:c r="L100" s="2"/>
    </x:row>
    <x:row r="101" ht="22" customHeight="1">
      <x:c r="A101" s="2" t="str">
        <x:v>pill</x:v>
      </x:c>
      <x:c r="B101" s="2" t="n">
        <x:v>2</x:v>
      </x:c>
      <x:c r="C101" s="2" t="str">
        <x:v>双分支门控</x:v>
      </x:c>
      <x:c r="D101" s="12" t="n">
        <x:v>17.061800399969798</x:v>
      </x:c>
      <x:c r="E101" s="12" t="n">
        <x:v>8.811587100033648</x:v>
      </x:c>
      <x:c r="F101" s="12" t="n">
        <x:v>14.861873500049114</x:v>
      </x:c>
      <x:c r="G101" s="12" t="n">
        <x:v>40.73526100005256</x:v>
      </x:c>
      <x:c r="H101" s="12" t="n">
        <x:v>24.196776700031478</x:v>
      </x:c>
      <x:c r="I101" s="12" t="n">
        <x:v>66.8378676000284</x:v>
      </x:c>
      <x:c r="J101" s="13" t="n">
        <x:v>2086</x:v>
      </x:c>
      <x:c r="K101" s="2"/>
      <x:c r="L101" s="2"/>
    </x:row>
    <x:row r="102" ht="22" customHeight="1">
      <x:c r="A102" s="2" t="str">
        <x:v>pill</x:v>
      </x:c>
      <x:c r="B102" s="2" t="n">
        <x:v>3</x:v>
      </x:c>
      <x:c r="C102" s="2" t="str">
        <x:v>原始单库</x:v>
      </x:c>
      <x:c r="D102" s="12" t="n">
        <x:v>12.9232702999725</x:v>
      </x:c>
      <x:c r="E102" s="12" t="n">
        <x:v>0</x:v>
      </x:c>
      <x:c r="F102" s="12" t="n">
        <x:v>10.109098499990068</x:v>
      </x:c>
      <x:c r="G102" s="12" t="n">
        <x:v>23.03236879996257</x:v>
      </x:c>
      <x:c r="H102" s="12" t="n">
        <x:v>8.137024399999063</x:v>
      </x:c>
      <x:c r="I102" s="12" t="n">
        <x:v>32.27155990002211</x:v>
      </x:c>
      <x:c r="J102" s="13" t="n">
        <x:v>1669</x:v>
      </x:c>
      <x:c r="K102" s="2"/>
      <x:c r="L102" s="2"/>
    </x:row>
    <x:row r="103" ht="22" customHeight="1">
      <x:c r="A103" s="2" t="str">
        <x:v>pill</x:v>
      </x:c>
      <x:c r="B103" s="2" t="n">
        <x:v>3</x:v>
      </x:c>
      <x:c r="C103" s="2" t="str">
        <x:v>双分支门控</x:v>
      </x:c>
      <x:c r="D103" s="12" t="n">
        <x:v>16.822438500006683</x:v>
      </x:c>
      <x:c r="E103" s="12" t="n">
        <x:v>8.518272599962074</x:v>
      </x:c>
      <x:c r="F103" s="12" t="n">
        <x:v>14.736440400010906</x:v>
      </x:c>
      <x:c r="G103" s="12" t="n">
        <x:v>40.077151499979664</x:v>
      </x:c>
      <x:c r="H103" s="12" t="n">
        <x:v>23.845484099991154</x:v>
      </x:c>
      <x:c r="I103" s="12" t="n">
        <x:v>65.78393520001555</x:v>
      </x:c>
      <x:c r="J103" s="13" t="n">
        <x:v>2086</x:v>
      </x:c>
      <x:c r="K103" s="2"/>
      <x:c r="L103" s="2"/>
    </x:row>
    <x:row r="104" ht="22" customHeight="1">
      <x:c r="A104" s="2" t="str">
        <x:v>pill</x:v>
      </x:c>
      <x:c r="B104" s="2" t="n">
        <x:v>4</x:v>
      </x:c>
      <x:c r="C104" s="2" t="str">
        <x:v>原始单库</x:v>
      </x:c>
      <x:c r="D104" s="12" t="n">
        <x:v>12.535948500037193</x:v>
      </x:c>
      <x:c r="E104" s="12" t="n">
        <x:v>0</x:v>
      </x:c>
      <x:c r="F104" s="12" t="n">
        <x:v>10.148724700033199</x:v>
      </x:c>
      <x:c r="G104" s="12" t="n">
        <x:v>22.684673200070392</x:v>
      </x:c>
      <x:c r="H104" s="12" t="n">
        <x:v>8.169021899986546</x:v>
      </x:c>
      <x:c r="I104" s="12" t="n">
        <x:v>31.969083400035743</x:v>
      </x:c>
      <x:c r="J104" s="13" t="n">
        <x:v>1669</x:v>
      </x:c>
      <x:c r="K104" s="2"/>
      <x:c r="L104" s="2"/>
    </x:row>
    <x:row r="105" ht="22" customHeight="1">
      <x:c r="A105" s="2" t="str">
        <x:v>pill</x:v>
      </x:c>
      <x:c r="B105" s="2" t="n">
        <x:v>4</x:v>
      </x:c>
      <x:c r="C105" s="2" t="str">
        <x:v>双分支门控</x:v>
      </x:c>
      <x:c r="D105" s="12" t="n">
        <x:v>16.169015899999067</x:v>
      </x:c>
      <x:c r="E105" s="12" t="n">
        <x:v>7.787561099976301</x:v>
      </x:c>
      <x:c r="F105" s="12" t="n">
        <x:v>13.48339860001579</x:v>
      </x:c>
      <x:c r="G105" s="12" t="n">
        <x:v>37.43997559999116</x:v>
      </x:c>
      <x:c r="H105" s="12" t="n">
        <x:v>24.533447700028773</x:v>
      </x:c>
      <x:c r="I105" s="12" t="n">
        <x:v>63.76450130000012</x:v>
      </x:c>
      <x:c r="J105" s="13" t="n">
        <x:v>2086</x:v>
      </x:c>
      <x:c r="K105" s="2"/>
      <x:c r="L105" s="2"/>
    </x:row>
    <x:row r="106" ht="22" customHeight="1">
      <x:c r="A106" s="2" t="str">
        <x:v>transistor</x:v>
      </x:c>
      <x:c r="B106" s="2" t="n">
        <x:v>0</x:v>
      </x:c>
      <x:c r="C106" s="2" t="str">
        <x:v>原始单库</x:v>
      </x:c>
      <x:c r="D106" s="12" t="n">
        <x:v>12.940324000024702</x:v>
      </x:c>
      <x:c r="E106" s="12" t="n">
        <x:v>0</x:v>
      </x:c>
      <x:c r="F106" s="12" t="n">
        <x:v>7.826717699994333</x:v>
      </x:c>
      <x:c r="G106" s="12" t="n">
        <x:v>20.767041700019035</x:v>
      </x:c>
      <x:c r="H106" s="12" t="n">
        <x:v>3.675348800024949</x:v>
      </x:c>
      <x:c r="I106" s="12" t="n">
        <x:v>25.473996400018223</x:v>
      </x:c>
      <x:c r="J106" s="13" t="n">
        <x:v>1332</x:v>
      </x:c>
      <x:c r="K106" s="2"/>
      <x:c r="L106" s="2"/>
    </x:row>
    <x:row r="107" ht="22" customHeight="1">
      <x:c r="A107" s="2" t="str">
        <x:v>transistor</x:v>
      </x:c>
      <x:c r="B107" s="2" t="n">
        <x:v>0</x:v>
      </x:c>
      <x:c r="C107" s="2" t="str">
        <x:v>双分支门控</x:v>
      </x:c>
      <x:c r="D107" s="12" t="n">
        <x:v>17.94710990000749</x:v>
      </x:c>
      <x:c r="E107" s="12" t="n">
        <x:v>9.443231599987485</x:v>
      </x:c>
      <x:c r="F107" s="12" t="n">
        <x:v>11.271645500033628</x:v>
      </x:c>
      <x:c r="G107" s="12" t="n">
        <x:v>38.6619870000286</x:v>
      </x:c>
      <x:c r="H107" s="12" t="n">
        <x:v>10.737689700035844</x:v>
      </x:c>
      <x:c r="I107" s="12" t="n">
        <x:v>51.22950540005695</x:v>
      </x:c>
      <x:c r="J107" s="13" t="n">
        <x:v>1665</x:v>
      </x:c>
      <x:c r="K107" s="2"/>
      <x:c r="L107" s="2"/>
    </x:row>
    <x:row r="108" ht="22" customHeight="1">
      <x:c r="A108" s="2" t="str">
        <x:v>transistor</x:v>
      </x:c>
      <x:c r="B108" s="2" t="n">
        <x:v>1</x:v>
      </x:c>
      <x:c r="C108" s="2" t="str">
        <x:v>原始单库</x:v>
      </x:c>
      <x:c r="D108" s="12" t="n">
        <x:v>12.251484000007622</x:v>
      </x:c>
      <x:c r="E108" s="12" t="n">
        <x:v>0</x:v>
      </x:c>
      <x:c r="F108" s="12" t="n">
        <x:v>7.198187700007111</x:v>
      </x:c>
      <x:c r="G108" s="12" t="n">
        <x:v>19.449671700014733</x:v>
      </x:c>
      <x:c r="H108" s="12" t="n">
        <x:v>3.635585199983325</x:v>
      </x:c>
      <x:c r="I108" s="12" t="n">
        <x:v>24.118978400016204</x:v>
      </x:c>
      <x:c r="J108" s="13" t="n">
        <x:v>1332</x:v>
      </x:c>
      <x:c r="K108" s="2"/>
      <x:c r="L108" s="2"/>
    </x:row>
    <x:row r="109" ht="22" customHeight="1">
      <x:c r="A109" s="2" t="str">
        <x:v>transistor</x:v>
      </x:c>
      <x:c r="B109" s="2" t="n">
        <x:v>1</x:v>
      </x:c>
      <x:c r="C109" s="2" t="str">
        <x:v>双分支门控</x:v>
      </x:c>
      <x:c r="D109" s="12" t="n">
        <x:v>18.07837780000409</x:v>
      </x:c>
      <x:c r="E109" s="12" t="n">
        <x:v>9.229752999963239</x:v>
      </x:c>
      <x:c r="F109" s="12" t="n">
        <x:v>11.253335699962918</x:v>
      </x:c>
      <x:c r="G109" s="12" t="n">
        <x:v>38.56146649993025</x:v>
      </x:c>
      <x:c r="H109" s="12" t="n">
        <x:v>10.810040900018066</x:v>
      </x:c>
      <x:c r="I109" s="12" t="n">
        <x:v>51.13613180001266</x:v>
      </x:c>
      <x:c r="J109" s="13" t="n">
        <x:v>1665</x:v>
      </x:c>
      <x:c r="K109" s="2"/>
      <x:c r="L109" s="2"/>
    </x:row>
    <x:row r="110" ht="22" customHeight="1">
      <x:c r="A110" s="2" t="str">
        <x:v>transistor</x:v>
      </x:c>
      <x:c r="B110" s="2" t="n">
        <x:v>2</x:v>
      </x:c>
      <x:c r="C110" s="2" t="str">
        <x:v>原始单库</x:v>
      </x:c>
      <x:c r="D110" s="12" t="n">
        <x:v>12.365451500052586</x:v>
      </x:c>
      <x:c r="E110" s="12" t="n">
        <x:v>0</x:v>
      </x:c>
      <x:c r="F110" s="12" t="n">
        <x:v>7.234052499989048</x:v>
      </x:c>
      <x:c r="G110" s="12" t="n">
        <x:v>19.599504000041634</x:v>
      </x:c>
      <x:c r="H110" s="12" t="n">
        <x:v>3.6981872000033036</x:v>
      </x:c>
      <x:c r="I110" s="12" t="n">
        <x:v>24.354509399970993</x:v>
      </x:c>
      <x:c r="J110" s="13" t="n">
        <x:v>1332</x:v>
      </x:c>
      <x:c r="K110" s="2"/>
      <x:c r="L110" s="2"/>
    </x:row>
    <x:row r="111" ht="22" customHeight="1">
      <x:c r="A111" s="2" t="str">
        <x:v>transistor</x:v>
      </x:c>
      <x:c r="B111" s="2" t="n">
        <x:v>2</x:v>
      </x:c>
      <x:c r="C111" s="2" t="str">
        <x:v>双分支门控</x:v>
      </x:c>
      <x:c r="D111" s="12" t="n">
        <x:v>17.927002699987497</x:v>
      </x:c>
      <x:c r="E111" s="12" t="n">
        <x:v>9.172390100022312</x:v>
      </x:c>
      <x:c r="F111" s="12" t="n">
        <x:v>11.393163900007494</x:v>
      </x:c>
      <x:c r="G111" s="12" t="n">
        <x:v>38.4925567000173</x:v>
      </x:c>
      <x:c r="H111" s="12" t="n">
        <x:v>10.760916300001554</x:v>
      </x:c>
      <x:c r="I111" s="12" t="n">
        <x:v>50.975666200043634</x:v>
      </x:c>
      <x:c r="J111" s="13" t="n">
        <x:v>1665</x:v>
      </x:c>
      <x:c r="K111" s="2"/>
      <x:c r="L111" s="2"/>
    </x:row>
    <x:row r="112" ht="22" customHeight="1">
      <x:c r="A112" s="2" t="str">
        <x:v>transistor</x:v>
      </x:c>
      <x:c r="B112" s="2" t="n">
        <x:v>3</x:v>
      </x:c>
      <x:c r="C112" s="2" t="str">
        <x:v>原始单库</x:v>
      </x:c>
      <x:c r="D112" s="12" t="n">
        <x:v>12.1018651999766</x:v>
      </x:c>
      <x:c r="E112" s="12" t="n">
        <x:v>0</x:v>
      </x:c>
      <x:c r="F112" s="12" t="n">
        <x:v>7.0077356999972835</x:v>
      </x:c>
      <x:c r="G112" s="12" t="n">
        <x:v>19.109600899973884</x:v>
      </x:c>
      <x:c r="H112" s="12" t="n">
        <x:v>3.683946200006176</x:v>
      </x:c>
      <x:c r="I112" s="12" t="n">
        <x:v>23.851431900053285</x:v>
      </x:c>
      <x:c r="J112" s="13" t="n">
        <x:v>1332</x:v>
      </x:c>
      <x:c r="K112" s="2"/>
      <x:c r="L112" s="2"/>
    </x:row>
    <x:row r="113" ht="22" customHeight="1">
      <x:c r="A113" s="2" t="str">
        <x:v>transistor</x:v>
      </x:c>
      <x:c r="B113" s="2" t="n">
        <x:v>3</x:v>
      </x:c>
      <x:c r="C113" s="2" t="str">
        <x:v>双分支门控</x:v>
      </x:c>
      <x:c r="D113" s="12" t="n">
        <x:v>17.61305419995915</x:v>
      </x:c>
      <x:c r="E113" s="12" t="n">
        <x:v>9.188503699959256</x:v>
      </x:c>
      <x:c r="F113" s="12" t="n">
        <x:v>11.148769099905621</x:v>
      </x:c>
      <x:c r="G113" s="12" t="n">
        <x:v>37.95032699982403</x:v>
      </x:c>
      <x:c r="H113" s="12" t="n">
        <x:v>10.555004600028042</x:v>
      </x:c>
      <x:c r="I113" s="12" t="n">
        <x:v>50.24019069998758</x:v>
      </x:c>
      <x:c r="J113" s="13" t="n">
        <x:v>1665</x:v>
      </x:c>
      <x:c r="K113" s="2"/>
      <x:c r="L113" s="2"/>
    </x:row>
    <x:row r="114" ht="22" customHeight="1">
      <x:c r="A114" s="2" t="str">
        <x:v>transistor</x:v>
      </x:c>
      <x:c r="B114" s="2" t="n">
        <x:v>4</x:v>
      </x:c>
      <x:c r="C114" s="2" t="str">
        <x:v>原始单库</x:v>
      </x:c>
      <x:c r="D114" s="12" t="n">
        <x:v>11.925867900019512</x:v>
      </x:c>
      <x:c r="E114" s="12" t="n">
        <x:v>0</x:v>
      </x:c>
      <x:c r="F114" s="12" t="n">
        <x:v>6.9807328000315465</x:v>
      </x:c>
      <x:c r="G114" s="12" t="n">
        <x:v>18.906600700051058</x:v>
      </x:c>
      <x:c r="H114" s="12" t="n">
        <x:v>3.7472314999904484</x:v>
      </x:c>
      <x:c r="I114" s="12" t="n">
        <x:v>23.740720100002363</x:v>
      </x:c>
      <x:c r="J114" s="13" t="n">
        <x:v>1332</x:v>
      </x:c>
      <x:c r="K114" s="2"/>
      <x:c r="L114" s="2"/>
    </x:row>
    <x:row r="115" ht="22" customHeight="1">
      <x:c r="A115" s="2" t="str">
        <x:v>transistor</x:v>
      </x:c>
      <x:c r="B115" s="2" t="n">
        <x:v>4</x:v>
      </x:c>
      <x:c r="C115" s="2" t="str">
        <x:v>双分支门控</x:v>
      </x:c>
      <x:c r="D115" s="12" t="n">
        <x:v>17.46650670003146</x:v>
      </x:c>
      <x:c r="E115" s="12" t="n">
        <x:v>9.04876910004532</x:v>
      </x:c>
      <x:c r="F115" s="12" t="n">
        <x:v>11.101425900007598</x:v>
      </x:c>
      <x:c r="G115" s="12" t="n">
        <x:v>37.61670170008438</x:v>
      </x:c>
      <x:c r="H115" s="12" t="n">
        <x:v>10.812553600000683</x:v>
      </x:c>
      <x:c r="I115" s="12" t="n">
        <x:v>50.08516529999906</x:v>
      </x:c>
      <x:c r="J115" s="13" t="n">
        <x:v>1665</x:v>
      </x:c>
      <x:c r="K115" s="2"/>
      <x:c r="L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</x:row>
    <x:row r="121" ht="22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</x:row>
  </x:sheetData>
  <x:conditionalFormatting sqref="G5:L79">
    <x:cfRule type="cellIs" dxfId="2" priority="1" operator="lessThan">
      <x:formula>0</x:formula>
    </x:cfRule>
    <x:cfRule type="cellIs" dxfId="3" priority="2" operator="greater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1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2" customHeight="1">
      <x:c r="A1" s="3" t="str">
        <x:v>历史指标重建记录</x:v>
      </x:c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2" t="str">
        <x:v>来源：historical_reconstructed.csv；由旧 gate_decisions 和 paired_deltas 重建，非本次重训练。</x:v>
      </x:c>
      <x:c r="B2" s="2"/>
      <x:c r="C2" s="2"/>
      <x:c r="D2" s="2"/>
      <x:c r="E2" s="2"/>
      <x:c r="F2" s="2"/>
      <x:c r="G2" s="2"/>
      <x:c r="H2" s="2"/>
      <x:c r="I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34" customHeight="1">
      <x:c r="A4" s="8" t="str">
        <x:v>类别</x:v>
      </x:c>
      <x:c r="B4" s="8" t="str">
        <x:v>seed</x:v>
      </x:c>
      <x:c r="C4" s="8" t="str">
        <x:v>方法</x:v>
      </x:c>
      <x:c r="D4" s="8" t="str">
        <x:v>图像AUROC</x:v>
      </x:c>
      <x:c r="E4" s="8" t="str">
        <x:v>全像素AUROC</x:v>
      </x:c>
      <x:c r="F4" s="8" t="str">
        <x:v>异常像素AUROC</x:v>
      </x:c>
      <x:c r="G4" s="8" t="str">
        <x:v>图像Δ固定</x:v>
      </x:c>
      <x:c r="H4" s="8" t="str">
        <x:v>全像素Δ固定</x:v>
      </x:c>
      <x:c r="I4" s="8" t="str">
        <x:v>异常像素Δ固定</x:v>
      </x:c>
    </x:row>
    <x:row r="5" ht="22" customHeight="1">
      <x:c r="A5" s="2" t="str">
        <x:v>bottle</x:v>
      </x:c>
      <x:c r="B5" s="2" t="n">
        <x:v>0</x:v>
      </x:c>
      <x:c r="C5" s="2" t="str">
        <x:v>双分支固定</x:v>
      </x:c>
      <x:c r="D5" s="9" t="n">
        <x:v>1</x:v>
      </x:c>
      <x:c r="E5" s="9" t="n">
        <x:v>0.9815570656237036</x:v>
      </x:c>
      <x:c r="F5" s="9" t="n">
        <x:v>0.9751163471075769</x:v>
      </x:c>
      <x:c r="G5" s="10" t="n">
        <x:f>D5-SUMIFS(D$5:D$304,$A$5:$A$304,$A5,$B$5:$B$304,$B5,$C$5:$C$304,"双分支固定")</x:f>
        <x:v>0</x:v>
      </x:c>
      <x:c r="H5" s="10" t="n">
        <x:f>E5-SUMIFS(E$5:E$304,$A$5:$A$304,$A5,$B$5:$B$304,$B5,$C$5:$C$304,"双分支固定")</x:f>
        <x:v>0</x:v>
      </x:c>
      <x:c r="I5" s="10" t="n">
        <x:f>F5-SUMIFS(F$5:F$304,$A$5:$A$304,$A5,$B$5:$B$304,$B5,$C$5:$C$304,"双分支固定")</x:f>
        <x:v>0</x:v>
      </x:c>
    </x:row>
    <x:row r="6" ht="22" customHeight="1">
      <x:c r="A6" s="2" t="str">
        <x:v>bottle</x:v>
      </x:c>
      <x:c r="B6" s="2" t="n">
        <x:v>0</x:v>
      </x:c>
      <x:c r="C6" s="2" t="str">
        <x:v>门控加收缩</x:v>
      </x:c>
      <x:c r="D6" s="9" t="n">
        <x:v>1</x:v>
      </x:c>
      <x:c r="E6" s="9" t="n">
        <x:v>0.9819479222332183</x:v>
      </x:c>
      <x:c r="F6" s="9" t="n">
        <x:v>0.9756473968766207</x:v>
      </x:c>
      <x:c r="G6" s="10" t="n">
        <x:f>D6-SUMIFS(D$5:D$304,$A$5:$A$304,$A6,$B$5:$B$304,$B6,$C$5:$C$304,"双分支固定")</x:f>
        <x:v>0</x:v>
      </x:c>
      <x:c r="H6" s="10" t="n">
        <x:f>E6-SUMIFS(E$5:E$304,$A$5:$A$304,$A6,$B$5:$B$304,$B6,$C$5:$C$304,"双分支固定")</x:f>
        <x:v>0.00039085660951465595</x:v>
      </x:c>
      <x:c r="I6" s="10" t="n">
        <x:f>F6-SUMIFS(F$5:F$304,$A$5:$A$304,$A6,$B$5:$B$304,$B6,$C$5:$C$304,"双分支固定")</x:f>
        <x:v>0.0005310497690438343</x:v>
      </x:c>
    </x:row>
    <x:row r="7" ht="22" customHeight="1">
      <x:c r="A7" s="2" t="str">
        <x:v>bottle</x:v>
      </x:c>
      <x:c r="B7" s="2" t="n">
        <x:v>0</x:v>
      </x:c>
      <x:c r="C7" s="2" t="str">
        <x:v>像素敏感性</x:v>
      </x:c>
      <x:c r="D7" s="9" t="n">
        <x:v>1</x:v>
      </x:c>
      <x:c r="E7" s="9" t="n">
        <x:v>0.9828039015021167</x:v>
      </x:c>
      <x:c r="F7" s="9" t="n">
        <x:v>0.9768225274431073</x:v>
      </x:c>
      <x:c r="G7" s="10" t="n">
        <x:f>D7-SUMIFS(D$5:D$304,$A$5:$A$304,$A7,$B$5:$B$304,$B7,$C$5:$C$304,"双分支固定")</x:f>
        <x:v>0</x:v>
      </x:c>
      <x:c r="H7" s="10" t="n">
        <x:f>E7-SUMIFS(E$5:E$304,$A$5:$A$304,$A7,$B$5:$B$304,$B7,$C$5:$C$304,"双分支固定")</x:f>
        <x:v>0.0012468358784131217</x:v>
      </x:c>
      <x:c r="I7" s="10" t="n">
        <x:f>F7-SUMIFS(F$5:F$304,$A$5:$A$304,$A7,$B$5:$B$304,$B7,$C$5:$C$304,"双分支固定")</x:f>
        <x:v>0.0017061803355303828</x:v>
      </x:c>
    </x:row>
    <x:row r="8" ht="22" customHeight="1">
      <x:c r="A8" s="2" t="str">
        <x:v>bottle</x:v>
      </x:c>
      <x:c r="B8" s="2" t="n">
        <x:v>0</x:v>
      </x:c>
      <x:c r="C8" s="2" t="str">
        <x:v>收缩0.25</x:v>
      </x:c>
      <x:c r="D8" s="9" t="n">
        <x:v>1</x:v>
      </x:c>
      <x:c r="E8" s="9" t="n">
        <x:v>0.9819479222332183</x:v>
      </x:c>
      <x:c r="F8" s="9" t="n">
        <x:v>0.9756473968766207</x:v>
      </x:c>
      <x:c r="G8" s="10" t="n">
        <x:f>D8-SUMIFS(D$5:D$304,$A$5:$A$304,$A8,$B$5:$B$304,$B8,$C$5:$C$304,"双分支固定")</x:f>
        <x:v>0</x:v>
      </x:c>
      <x:c r="H8" s="10" t="n">
        <x:f>E8-SUMIFS(E$5:E$304,$A$5:$A$304,$A8,$B$5:$B$304,$B8,$C$5:$C$304,"双分支固定")</x:f>
        <x:v>0.00039085660951465595</x:v>
      </x:c>
      <x:c r="I8" s="10" t="n">
        <x:f>F8-SUMIFS(F$5:F$304,$A$5:$A$304,$A8,$B$5:$B$304,$B8,$C$5:$C$304,"双分支固定")</x:f>
        <x:v>0.0005310497690438343</x:v>
      </x:c>
    </x:row>
    <x:row r="9" ht="22" customHeight="1">
      <x:c r="A9" s="2" t="str">
        <x:v>bottle</x:v>
      </x:c>
      <x:c r="B9" s="2" t="n">
        <x:v>1</x:v>
      </x:c>
      <x:c r="C9" s="2" t="str">
        <x:v>双分支固定</x:v>
      </x:c>
      <x:c r="D9" s="9" t="n">
        <x:v>1</x:v>
      </x:c>
      <x:c r="E9" s="9" t="n">
        <x:v>0.9818042726026277</x:v>
      </x:c>
      <x:c r="F9" s="9" t="n">
        <x:v>0.9754550896149488</x:v>
      </x:c>
      <x:c r="G9" s="10" t="n">
        <x:f>D9-SUMIFS(D$5:D$304,$A$5:$A$304,$A9,$B$5:$B$304,$B9,$C$5:$C$304,"双分支固定")</x:f>
        <x:v>0</x:v>
      </x:c>
      <x:c r="H9" s="10" t="n">
        <x:f>E9-SUMIFS(E$5:E$304,$A$5:$A$304,$A9,$B$5:$B$304,$B9,$C$5:$C$304,"双分支固定")</x:f>
        <x:v>0</x:v>
      </x:c>
      <x:c r="I9" s="10" t="n">
        <x:f>F9-SUMIFS(F$5:F$304,$A$5:$A$304,$A9,$B$5:$B$304,$B9,$C$5:$C$304,"双分支固定")</x:f>
        <x:v>0</x:v>
      </x:c>
    </x:row>
    <x:row r="10" ht="22" customHeight="1">
      <x:c r="A10" s="2" t="str">
        <x:v>bottle</x:v>
      </x:c>
      <x:c r="B10" s="2" t="n">
        <x:v>1</x:v>
      </x:c>
      <x:c r="C10" s="2" t="str">
        <x:v>门控加收缩</x:v>
      </x:c>
      <x:c r="D10" s="9" t="n">
        <x:v>1</x:v>
      </x:c>
      <x:c r="E10" s="9" t="n">
        <x:v>0.9823102611935149</x:v>
      </x:c>
      <x:c r="F10" s="9" t="n">
        <x:v>0.9761463818812748</x:v>
      </x:c>
      <x:c r="G10" s="10" t="n">
        <x:f>D10-SUMIFS(D$5:D$304,$A$5:$A$304,$A10,$B$5:$B$304,$B10,$C$5:$C$304,"双分支固定")</x:f>
        <x:v>0</x:v>
      </x:c>
      <x:c r="H10" s="10" t="n">
        <x:f>E10-SUMIFS(E$5:E$304,$A$5:$A$304,$A10,$B$5:$B$304,$B10,$C$5:$C$304,"双分支固定")</x:f>
        <x:v>0.0005059885908872408</x:v>
      </x:c>
      <x:c r="I10" s="10" t="n">
        <x:f>F10-SUMIFS(F$5:F$304,$A$5:$A$304,$A10,$B$5:$B$304,$B10,$C$5:$C$304,"双分支固定")</x:f>
        <x:v>0.0006912922663260268</x:v>
      </x:c>
    </x:row>
    <x:row r="11" ht="22" customHeight="1">
      <x:c r="A11" s="2" t="str">
        <x:v>bottle</x:v>
      </x:c>
      <x:c r="B11" s="2" t="n">
        <x:v>1</x:v>
      </x:c>
      <x:c r="C11" s="2" t="str">
        <x:v>像素敏感性</x:v>
      </x:c>
      <x:c r="D11" s="9" t="n">
        <x:v>1</x:v>
      </x:c>
      <x:c r="E11" s="9" t="n">
        <x:v>0.9831516090603256</x:v>
      </x:c>
      <x:c r="F11" s="9" t="n">
        <x:v>0.9773411667427647</x:v>
      </x:c>
      <x:c r="G11" s="10" t="n">
        <x:f>D11-SUMIFS(D$5:D$304,$A$5:$A$304,$A11,$B$5:$B$304,$B11,$C$5:$C$304,"双分支固定")</x:f>
        <x:v>0</x:v>
      </x:c>
      <x:c r="H11" s="10" t="n">
        <x:f>E11-SUMIFS(E$5:E$304,$A$5:$A$304,$A11,$B$5:$B$304,$B11,$C$5:$C$304,"双分支固定")</x:f>
        <x:v>0.0013473364576979119</x:v>
      </x:c>
      <x:c r="I11" s="10" t="n">
        <x:f>F11-SUMIFS(F$5:F$304,$A$5:$A$304,$A11,$B$5:$B$304,$B11,$C$5:$C$304,"双分支固定")</x:f>
        <x:v>0.001886077127815966</x:v>
      </x:c>
    </x:row>
    <x:row r="12" ht="22" customHeight="1">
      <x:c r="A12" s="2" t="str">
        <x:v>bottle</x:v>
      </x:c>
      <x:c r="B12" s="2" t="n">
        <x:v>1</x:v>
      </x:c>
      <x:c r="C12" s="2" t="str">
        <x:v>收缩0.25</x:v>
      </x:c>
      <x:c r="D12" s="9" t="n">
        <x:v>1</x:v>
      </x:c>
      <x:c r="E12" s="9" t="n">
        <x:v>0.9823102611935149</x:v>
      </x:c>
      <x:c r="F12" s="9" t="n">
        <x:v>0.9761463818812748</x:v>
      </x:c>
      <x:c r="G12" s="10" t="n">
        <x:f>D12-SUMIFS(D$5:D$304,$A$5:$A$304,$A12,$B$5:$B$304,$B12,$C$5:$C$304,"双分支固定")</x:f>
        <x:v>0</x:v>
      </x:c>
      <x:c r="H12" s="10" t="n">
        <x:f>E12-SUMIFS(E$5:E$304,$A$5:$A$304,$A12,$B$5:$B$304,$B12,$C$5:$C$304,"双分支固定")</x:f>
        <x:v>0.0005059885908872408</x:v>
      </x:c>
      <x:c r="I12" s="10" t="n">
        <x:f>F12-SUMIFS(F$5:F$304,$A$5:$A$304,$A12,$B$5:$B$304,$B12,$C$5:$C$304,"双分支固定")</x:f>
        <x:v>0.0006912922663260268</x:v>
      </x:c>
    </x:row>
    <x:row r="13" ht="22" customHeight="1">
      <x:c r="A13" s="2" t="str">
        <x:v>bottle</x:v>
      </x:c>
      <x:c r="B13" s="2" t="n">
        <x:v>2</x:v>
      </x:c>
      <x:c r="C13" s="2" t="str">
        <x:v>双分支固定</x:v>
      </x:c>
      <x:c r="D13" s="9" t="n">
        <x:v>1</x:v>
      </x:c>
      <x:c r="E13" s="9" t="n">
        <x:v>0.9816744939893235</x:v>
      </x:c>
      <x:c r="F13" s="9" t="n">
        <x:v>0.9752849908756004</x:v>
      </x:c>
      <x:c r="G13" s="10" t="n">
        <x:f>D13-SUMIFS(D$5:D$304,$A$5:$A$304,$A13,$B$5:$B$304,$B13,$C$5:$C$304,"双分支固定")</x:f>
        <x:v>0</x:v>
      </x:c>
      <x:c r="H13" s="10" t="n">
        <x:f>E13-SUMIFS(E$5:E$304,$A$5:$A$304,$A13,$B$5:$B$304,$B13,$C$5:$C$304,"双分支固定")</x:f>
        <x:v>0</x:v>
      </x:c>
      <x:c r="I13" s="10" t="n">
        <x:f>F13-SUMIFS(F$5:F$304,$A$5:$A$304,$A13,$B$5:$B$304,$B13,$C$5:$C$304,"双分支固定")</x:f>
        <x:v>0</x:v>
      </x:c>
    </x:row>
    <x:row r="14" ht="22" customHeight="1">
      <x:c r="A14" s="2" t="str">
        <x:v>bottle</x:v>
      </x:c>
      <x:c r="B14" s="2" t="n">
        <x:v>2</x:v>
      </x:c>
      <x:c r="C14" s="2" t="str">
        <x:v>门控加收缩</x:v>
      </x:c>
      <x:c r="D14" s="9" t="n">
        <x:v>1</x:v>
      </x:c>
      <x:c r="E14" s="9" t="n">
        <x:v>0.9822632615162448</x:v>
      </x:c>
      <x:c r="F14" s="9" t="n">
        <x:v>0.9760864493167651</x:v>
      </x:c>
      <x:c r="G14" s="10" t="n">
        <x:f>D14-SUMIFS(D$5:D$304,$A$5:$A$304,$A14,$B$5:$B$304,$B14,$C$5:$C$304,"双分支固定")</x:f>
        <x:v>0</x:v>
      </x:c>
      <x:c r="H14" s="10" t="n">
        <x:f>E14-SUMIFS(E$5:E$304,$A$5:$A$304,$A14,$B$5:$B$304,$B14,$C$5:$C$304,"双分支固定")</x:f>
        <x:v>0.0005887675269212744</x:v>
      </x:c>
      <x:c r="I14" s="10" t="n">
        <x:f>F14-SUMIFS(F$5:F$304,$A$5:$A$304,$A14,$B$5:$B$304,$B14,$C$5:$C$304,"双分支固定")</x:f>
        <x:v>0.0008014584411647485</x:v>
      </x:c>
    </x:row>
    <x:row r="15" ht="22" customHeight="1">
      <x:c r="A15" s="2" t="str">
        <x:v>bottle</x:v>
      </x:c>
      <x:c r="B15" s="2" t="n">
        <x:v>2</x:v>
      </x:c>
      <x:c r="C15" s="2" t="str">
        <x:v>像素敏感性</x:v>
      </x:c>
      <x:c r="D15" s="9" t="n">
        <x:v>1</x:v>
      </x:c>
      <x:c r="E15" s="9" t="n">
        <x:v>0.9833071349776055</x:v>
      </x:c>
      <x:c r="F15" s="9" t="n">
        <x:v>0.9775360683773459</x:v>
      </x:c>
      <x:c r="G15" s="10" t="n">
        <x:f>D15-SUMIFS(D$5:D$304,$A$5:$A$304,$A15,$B$5:$B$304,$B15,$C$5:$C$304,"双分支固定")</x:f>
        <x:v>0</x:v>
      </x:c>
      <x:c r="H15" s="10" t="n">
        <x:f>E15-SUMIFS(E$5:E$304,$A$5:$A$304,$A15,$B$5:$B$304,$B15,$C$5:$C$304,"双分支固定")</x:f>
        <x:v>0.0016326409882819748</x:v>
      </x:c>
      <x:c r="I15" s="10" t="n">
        <x:f>F15-SUMIFS(F$5:F$304,$A$5:$A$304,$A15,$B$5:$B$304,$B15,$C$5:$C$304,"双分支固定")</x:f>
        <x:v>0.0022510775017454687</x:v>
      </x:c>
    </x:row>
    <x:row r="16" ht="22" customHeight="1">
      <x:c r="A16" s="2" t="str">
        <x:v>bottle</x:v>
      </x:c>
      <x:c r="B16" s="2" t="n">
        <x:v>2</x:v>
      </x:c>
      <x:c r="C16" s="2" t="str">
        <x:v>收缩0.25</x:v>
      </x:c>
      <x:c r="D16" s="9" t="n">
        <x:v>1</x:v>
      </x:c>
      <x:c r="E16" s="9" t="n">
        <x:v>0.9822632615162448</x:v>
      </x:c>
      <x:c r="F16" s="9" t="n">
        <x:v>0.9760864493167651</x:v>
      </x:c>
      <x:c r="G16" s="10" t="n">
        <x:f>D16-SUMIFS(D$5:D$304,$A$5:$A$304,$A16,$B$5:$B$304,$B16,$C$5:$C$304,"双分支固定")</x:f>
        <x:v>0</x:v>
      </x:c>
      <x:c r="H16" s="10" t="n">
        <x:f>E16-SUMIFS(E$5:E$304,$A$5:$A$304,$A16,$B$5:$B$304,$B16,$C$5:$C$304,"双分支固定")</x:f>
        <x:v>0.0005887675269212744</x:v>
      </x:c>
      <x:c r="I16" s="10" t="n">
        <x:f>F16-SUMIFS(F$5:F$304,$A$5:$A$304,$A16,$B$5:$B$304,$B16,$C$5:$C$304,"双分支固定")</x:f>
        <x:v>0.0008014584411647485</x:v>
      </x:c>
    </x:row>
    <x:row r="17" ht="22" customHeight="1">
      <x:c r="A17" s="2" t="str">
        <x:v>bottle</x:v>
      </x:c>
      <x:c r="B17" s="2" t="n">
        <x:v>3</x:v>
      </x:c>
      <x:c r="C17" s="2" t="str">
        <x:v>双分支固定</x:v>
      </x:c>
      <x:c r="D17" s="9" t="n">
        <x:v>1</x:v>
      </x:c>
      <x:c r="E17" s="9" t="n">
        <x:v>0.9815204757200586</x:v>
      </x:c>
      <x:c r="F17" s="9" t="n">
        <x:v>0.9750709568111282</x:v>
      </x:c>
      <x:c r="G17" s="10" t="n">
        <x:f>D17-SUMIFS(D$5:D$304,$A$5:$A$304,$A17,$B$5:$B$304,$B17,$C$5:$C$304,"双分支固定")</x:f>
        <x:v>0</x:v>
      </x:c>
      <x:c r="H17" s="10" t="n">
        <x:f>E17-SUMIFS(E$5:E$304,$A$5:$A$304,$A17,$B$5:$B$304,$B17,$C$5:$C$304,"双分支固定")</x:f>
        <x:v>0</x:v>
      </x:c>
      <x:c r="I17" s="10" t="n">
        <x:f>F17-SUMIFS(F$5:F$304,$A$5:$A$304,$A17,$B$5:$B$304,$B17,$C$5:$C$304,"双分支固定")</x:f>
        <x:v>0</x:v>
      </x:c>
    </x:row>
    <x:row r="18" ht="22" customHeight="1">
      <x:c r="A18" s="2" t="str">
        <x:v>bottle</x:v>
      </x:c>
      <x:c r="B18" s="2" t="n">
        <x:v>3</x:v>
      </x:c>
      <x:c r="C18" s="2" t="str">
        <x:v>门控加收缩</x:v>
      </x:c>
      <x:c r="D18" s="9" t="n">
        <x:v>1</x:v>
      </x:c>
      <x:c r="E18" s="9" t="n">
        <x:v>0.9818078883354984</x:v>
      </x:c>
      <x:c r="F18" s="9" t="n">
        <x:v>0.9754624966635275</x:v>
      </x:c>
      <x:c r="G18" s="10" t="n">
        <x:f>D18-SUMIFS(D$5:D$304,$A$5:$A$304,$A18,$B$5:$B$304,$B18,$C$5:$C$304,"双分支固定")</x:f>
        <x:v>0</x:v>
      </x:c>
      <x:c r="H18" s="10" t="n">
        <x:f>E18-SUMIFS(E$5:E$304,$A$5:$A$304,$A18,$B$5:$B$304,$B18,$C$5:$C$304,"双分支固定")</x:f>
        <x:v>0.0002874126154397416</x:v>
      </x:c>
      <x:c r="I18" s="10" t="n">
        <x:f>F18-SUMIFS(F$5:F$304,$A$5:$A$304,$A18,$B$5:$B$304,$B18,$C$5:$C$304,"双分支固定")</x:f>
        <x:v>0.0003915398523992586</x:v>
      </x:c>
    </x:row>
    <x:row r="19" ht="22" customHeight="1">
      <x:c r="A19" s="2" t="str">
        <x:v>bottle</x:v>
      </x:c>
      <x:c r="B19" s="2" t="n">
        <x:v>3</x:v>
      </x:c>
      <x:c r="C19" s="2" t="str">
        <x:v>像素敏感性</x:v>
      </x:c>
      <x:c r="D19" s="9" t="n">
        <x:v>1</x:v>
      </x:c>
      <x:c r="E19" s="9" t="n">
        <x:v>0.9824880786502682</x:v>
      </x:c>
      <x:c r="F19" s="9" t="n">
        <x:v>0.9763981724140912</x:v>
      </x:c>
      <x:c r="G19" s="10" t="n">
        <x:f>D19-SUMIFS(D$5:D$304,$A$5:$A$304,$A19,$B$5:$B$304,$B19,$C$5:$C$304,"双分支固定")</x:f>
        <x:v>0</x:v>
      </x:c>
      <x:c r="H19" s="10" t="n">
        <x:f>E19-SUMIFS(E$5:E$304,$A$5:$A$304,$A19,$B$5:$B$304,$B19,$C$5:$C$304,"双分支固定")</x:f>
        <x:v>0.0009676029302095879</x:v>
      </x:c>
      <x:c r="I19" s="10" t="n">
        <x:f>F19-SUMIFS(F$5:F$304,$A$5:$A$304,$A19,$B$5:$B$304,$B19,$C$5:$C$304,"双分支固定")</x:f>
        <x:v>0.0013272156029630056</x:v>
      </x:c>
    </x:row>
    <x:row r="20" ht="22" customHeight="1">
      <x:c r="A20" s="2" t="str">
        <x:v>bottle</x:v>
      </x:c>
      <x:c r="B20" s="2" t="n">
        <x:v>3</x:v>
      </x:c>
      <x:c r="C20" s="2" t="str">
        <x:v>收缩0.25</x:v>
      </x:c>
      <x:c r="D20" s="9" t="n">
        <x:v>1</x:v>
      </x:c>
      <x:c r="E20" s="9" t="n">
        <x:v>0.9818078883354984</x:v>
      </x:c>
      <x:c r="F20" s="9" t="n">
        <x:v>0.9754624966635275</x:v>
      </x:c>
      <x:c r="G20" s="10" t="n">
        <x:f>D20-SUMIFS(D$5:D$304,$A$5:$A$304,$A20,$B$5:$B$304,$B20,$C$5:$C$304,"双分支固定")</x:f>
        <x:v>0</x:v>
      </x:c>
      <x:c r="H20" s="10" t="n">
        <x:f>E20-SUMIFS(E$5:E$304,$A$5:$A$304,$A20,$B$5:$B$304,$B20,$C$5:$C$304,"双分支固定")</x:f>
        <x:v>0.0002874126154397416</x:v>
      </x:c>
      <x:c r="I20" s="10" t="n">
        <x:f>F20-SUMIFS(F$5:F$304,$A$5:$A$304,$A20,$B$5:$B$304,$B20,$C$5:$C$304,"双分支固定")</x:f>
        <x:v>0.0003915398523992586</x:v>
      </x:c>
    </x:row>
    <x:row r="21" ht="22" customHeight="1">
      <x:c r="A21" s="2" t="str">
        <x:v>bottle</x:v>
      </x:c>
      <x:c r="B21" s="2" t="n">
        <x:v>4</x:v>
      </x:c>
      <x:c r="C21" s="2" t="str">
        <x:v>双分支固定</x:v>
      </x:c>
      <x:c r="D21" s="9" t="n">
        <x:v>1</x:v>
      </x:c>
      <x:c r="E21" s="9" t="n">
        <x:v>0.9816398042082833</x:v>
      </x:c>
      <x:c r="F21" s="9" t="n">
        <x:v>0.9752348769320109</x:v>
      </x:c>
      <x:c r="G21" s="10" t="n">
        <x:f>D21-SUMIFS(D$5:D$304,$A$5:$A$304,$A21,$B$5:$B$304,$B21,$C$5:$C$304,"双分支固定")</x:f>
        <x:v>0</x:v>
      </x:c>
      <x:c r="H21" s="10" t="n">
        <x:f>E21-SUMIFS(E$5:E$304,$A$5:$A$304,$A21,$B$5:$B$304,$B21,$C$5:$C$304,"双分支固定")</x:f>
        <x:v>0</x:v>
      </x:c>
      <x:c r="I21" s="10" t="n">
        <x:f>F21-SUMIFS(F$5:F$304,$A$5:$A$304,$A21,$B$5:$B$304,$B21,$C$5:$C$304,"双分支固定")</x:f>
        <x:v>0</x:v>
      </x:c>
    </x:row>
    <x:row r="22" ht="22" customHeight="1">
      <x:c r="A22" s="2" t="str">
        <x:v>bottle</x:v>
      </x:c>
      <x:c r="B22" s="2" t="n">
        <x:v>4</x:v>
      </x:c>
      <x:c r="C22" s="2" t="str">
        <x:v>门控加收缩</x:v>
      </x:c>
      <x:c r="D22" s="9" t="n">
        <x:v>1</x:v>
      </x:c>
      <x:c r="E22" s="9" t="n">
        <x:v>0.9818878713769947</x:v>
      </x:c>
      <x:c r="F22" s="9" t="n">
        <x:v>0.9755745098899338</x:v>
      </x:c>
      <x:c r="G22" s="10" t="n">
        <x:f>D22-SUMIFS(D$5:D$304,$A$5:$A$304,$A22,$B$5:$B$304,$B22,$C$5:$C$304,"双分支固定")</x:f>
        <x:v>0</x:v>
      </x:c>
      <x:c r="H22" s="10" t="n">
        <x:f>E22-SUMIFS(E$5:E$304,$A$5:$A$304,$A22,$B$5:$B$304,$B22,$C$5:$C$304,"双分支固定")</x:f>
        <x:v>0.00024806716871139667</x:v>
      </x:c>
      <x:c r="I22" s="10" t="n">
        <x:f>F22-SUMIFS(F$5:F$304,$A$5:$A$304,$A22,$B$5:$B$304,$B22,$C$5:$C$304,"双分支固定")</x:f>
        <x:v>0.00033963295792283077</x:v>
      </x:c>
    </x:row>
    <x:row r="23" ht="22" customHeight="1">
      <x:c r="A23" s="2" t="str">
        <x:v>bottle</x:v>
      </x:c>
      <x:c r="B23" s="2" t="n">
        <x:v>4</x:v>
      </x:c>
      <x:c r="C23" s="2" t="str">
        <x:v>像素敏感性</x:v>
      </x:c>
      <x:c r="D23" s="9" t="n">
        <x:v>1</x:v>
      </x:c>
      <x:c r="E23" s="9" t="n">
        <x:v>0.9824558418899829</x:v>
      </x:c>
      <x:c r="F23" s="9" t="n">
        <x:v>0.9763641219357987</x:v>
      </x:c>
      <x:c r="G23" s="10" t="n">
        <x:f>D23-SUMIFS(D$5:D$304,$A$5:$A$304,$A23,$B$5:$B$304,$B23,$C$5:$C$304,"双分支固定")</x:f>
        <x:v>0</x:v>
      </x:c>
      <x:c r="H23" s="10" t="n">
        <x:f>E23-SUMIFS(E$5:E$304,$A$5:$A$304,$A23,$B$5:$B$304,$B23,$C$5:$C$304,"双分支固定")</x:f>
        <x:v>0.0008160376816995774</x:v>
      </x:c>
      <x:c r="I23" s="10" t="n">
        <x:f>F23-SUMIFS(F$5:F$304,$A$5:$A$304,$A23,$B$5:$B$304,$B23,$C$5:$C$304,"双分支固定")</x:f>
        <x:v>0.0011292450037877488</x:v>
      </x:c>
    </x:row>
    <x:row r="24" ht="22" customHeight="1">
      <x:c r="A24" s="2" t="str">
        <x:v>bottle</x:v>
      </x:c>
      <x:c r="B24" s="2" t="n">
        <x:v>4</x:v>
      </x:c>
      <x:c r="C24" s="2" t="str">
        <x:v>收缩0.25</x:v>
      </x:c>
      <x:c r="D24" s="9" t="n">
        <x:v>1</x:v>
      </x:c>
      <x:c r="E24" s="9" t="n">
        <x:v>0.9818878713769947</x:v>
      </x:c>
      <x:c r="F24" s="9" t="n">
        <x:v>0.9755745098899338</x:v>
      </x:c>
      <x:c r="G24" s="10" t="n">
        <x:f>D24-SUMIFS(D$5:D$304,$A$5:$A$304,$A24,$B$5:$B$304,$B24,$C$5:$C$304,"双分支固定")</x:f>
        <x:v>0</x:v>
      </x:c>
      <x:c r="H24" s="10" t="n">
        <x:f>E24-SUMIFS(E$5:E$304,$A$5:$A$304,$A24,$B$5:$B$304,$B24,$C$5:$C$304,"双分支固定")</x:f>
        <x:v>0.00024806716871139667</x:v>
      </x:c>
      <x:c r="I24" s="10" t="n">
        <x:f>F24-SUMIFS(F$5:F$304,$A$5:$A$304,$A24,$B$5:$B$304,$B24,$C$5:$C$304,"双分支固定")</x:f>
        <x:v>0.00033963295792283077</x:v>
      </x:c>
    </x:row>
    <x:row r="25" ht="22" customHeight="1">
      <x:c r="A25" s="2" t="str">
        <x:v>cable</x:v>
      </x:c>
      <x:c r="B25" s="2" t="n">
        <x:v>0</x:v>
      </x:c>
      <x:c r="C25" s="2" t="str">
        <x:v>双分支固定</x:v>
      </x:c>
      <x:c r="D25" s="9" t="n">
        <x:v>0.9855697151424289</x:v>
      </x:c>
      <x:c r="E25" s="9" t="n">
        <x:v>0.9783182686672587</x:v>
      </x:c>
      <x:c r="F25" s="9" t="n">
        <x:v>0.9668808285852946</x:v>
      </x:c>
      <x:c r="G25" s="10" t="n">
        <x:f>D25-SUMIFS(D$5:D$304,$A$5:$A$304,$A25,$B$5:$B$304,$B25,$C$5:$C$304,"双分支固定")</x:f>
        <x:v>0</x:v>
      </x:c>
      <x:c r="H25" s="10" t="n">
        <x:f>E25-SUMIFS(E$5:E$304,$A$5:$A$304,$A25,$B$5:$B$304,$B25,$C$5:$C$304,"双分支固定")</x:f>
        <x:v>0</x:v>
      </x:c>
      <x:c r="I25" s="10" t="n">
        <x:f>F25-SUMIFS(F$5:F$304,$A$5:$A$304,$A25,$B$5:$B$304,$B25,$C$5:$C$304,"双分支固定")</x:f>
        <x:v>0</x:v>
      </x:c>
    </x:row>
    <x:row r="26" ht="22" customHeight="1">
      <x:c r="A26" s="2" t="str">
        <x:v>cable</x:v>
      </x:c>
      <x:c r="B26" s="2" t="n">
        <x:v>0</x:v>
      </x:c>
      <x:c r="C26" s="2" t="str">
        <x:v>门控加收缩</x:v>
      </x:c>
      <x:c r="D26" s="9" t="n">
        <x:v>0.9855697151424289</x:v>
      </x:c>
      <x:c r="E26" s="9" t="n">
        <x:v>0.9783182686672587</x:v>
      </x:c>
      <x:c r="F26" s="9" t="n">
        <x:v>0.9668808285852946</x:v>
      </x:c>
      <x:c r="G26" s="10" t="n">
        <x:f>D26-SUMIFS(D$5:D$304,$A$5:$A$304,$A26,$B$5:$B$304,$B26,$C$5:$C$304,"双分支固定")</x:f>
        <x:v>0</x:v>
      </x:c>
      <x:c r="H26" s="10" t="n">
        <x:f>E26-SUMIFS(E$5:E$304,$A$5:$A$304,$A26,$B$5:$B$304,$B26,$C$5:$C$304,"双分支固定")</x:f>
        <x:v>0</x:v>
      </x:c>
      <x:c r="I26" s="10" t="n">
        <x:f>F26-SUMIFS(F$5:F$304,$A$5:$A$304,$A26,$B$5:$B$304,$B26,$C$5:$C$304,"双分支固定")</x:f>
        <x:v>0</x:v>
      </x:c>
    </x:row>
    <x:row r="27" ht="22" customHeight="1">
      <x:c r="A27" s="2" t="str">
        <x:v>cable</x:v>
      </x:c>
      <x:c r="B27" s="2" t="n">
        <x:v>0</x:v>
      </x:c>
      <x:c r="C27" s="2" t="str">
        <x:v>像素敏感性</x:v>
      </x:c>
      <x:c r="D27" s="9" t="n">
        <x:v>0.9855697151424289</x:v>
      </x:c>
      <x:c r="E27" s="9" t="n">
        <x:v>0.9716598707282212</x:v>
      </x:c>
      <x:c r="F27" s="9" t="n">
        <x:v>0.9609434522487672</x:v>
      </x:c>
      <x:c r="G27" s="10" t="n">
        <x:f>D27-SUMIFS(D$5:D$304,$A$5:$A$304,$A27,$B$5:$B$304,$B27,$C$5:$C$304,"双分支固定")</x:f>
        <x:v>0</x:v>
      </x:c>
      <x:c r="H27" s="10" t="n">
        <x:f>E27-SUMIFS(E$5:E$304,$A$5:$A$304,$A27,$B$5:$B$304,$B27,$C$5:$C$304,"双分支固定")</x:f>
        <x:v>-0.0066583979390374415</x:v>
      </x:c>
      <x:c r="I27" s="10" t="n">
        <x:f>F27-SUMIFS(F$5:F$304,$A$5:$A$304,$A27,$B$5:$B$304,$B27,$C$5:$C$304,"双分支固定")</x:f>
        <x:v>-0.005937376336527356</x:v>
      </x:c>
    </x:row>
    <x:row r="28" ht="22" customHeight="1">
      <x:c r="A28" s="2" t="str">
        <x:v>cable</x:v>
      </x:c>
      <x:c r="B28" s="2" t="n">
        <x:v>0</x:v>
      </x:c>
      <x:c r="C28" s="2" t="str">
        <x:v>收缩0.25</x:v>
      </x:c>
      <x:c r="D28" s="9" t="n">
        <x:v>0.9855697151424289</x:v>
      </x:c>
      <x:c r="E28" s="9" t="n">
        <x:v>0.9775671469319425</x:v>
      </x:c>
      <x:c r="F28" s="9" t="n">
        <x:v>0.966372098205847</x:v>
      </x:c>
      <x:c r="G28" s="10" t="n">
        <x:f>D28-SUMIFS(D$5:D$304,$A$5:$A$304,$A28,$B$5:$B$304,$B28,$C$5:$C$304,"双分支固定")</x:f>
        <x:v>0</x:v>
      </x:c>
      <x:c r="H28" s="10" t="n">
        <x:f>E28-SUMIFS(E$5:E$304,$A$5:$A$304,$A28,$B$5:$B$304,$B28,$C$5:$C$304,"双分支固定")</x:f>
        <x:v>-0.0007511217353162181</x:v>
      </x:c>
      <x:c r="I28" s="10" t="n">
        <x:f>F28-SUMIFS(F$5:F$304,$A$5:$A$304,$A28,$B$5:$B$304,$B28,$C$5:$C$304,"双分支固定")</x:f>
        <x:v>-0.0005087303794475417</x:v>
      </x:c>
    </x:row>
    <x:row r="29" ht="22" customHeight="1">
      <x:c r="A29" s="2" t="str">
        <x:v>cable</x:v>
      </x:c>
      <x:c r="B29" s="2" t="n">
        <x:v>1</x:v>
      </x:c>
      <x:c r="C29" s="2" t="str">
        <x:v>双分支固定</x:v>
      </x:c>
      <x:c r="D29" s="9" t="n">
        <x:v>0.9926911544227885</x:v>
      </x:c>
      <x:c r="E29" s="9" t="n">
        <x:v>0.9776765019581887</x:v>
      </x:c>
      <x:c r="F29" s="9" t="n">
        <x:v>0.9660834379927457</x:v>
      </x:c>
      <x:c r="G29" s="10" t="n">
        <x:f>D29-SUMIFS(D$5:D$304,$A$5:$A$304,$A29,$B$5:$B$304,$B29,$C$5:$C$304,"双分支固定")</x:f>
        <x:v>0</x:v>
      </x:c>
      <x:c r="H29" s="10" t="n">
        <x:f>E29-SUMIFS(E$5:E$304,$A$5:$A$304,$A29,$B$5:$B$304,$B29,$C$5:$C$304,"双分支固定")</x:f>
        <x:v>0</x:v>
      </x:c>
      <x:c r="I29" s="10" t="n">
        <x:f>F29-SUMIFS(F$5:F$304,$A$5:$A$304,$A29,$B$5:$B$304,$B29,$C$5:$C$304,"双分支固定")</x:f>
        <x:v>0</x:v>
      </x:c>
    </x:row>
    <x:row r="30" ht="22" customHeight="1">
      <x:c r="A30" s="2" t="str">
        <x:v>cable</x:v>
      </x:c>
      <x:c r="B30" s="2" t="n">
        <x:v>1</x:v>
      </x:c>
      <x:c r="C30" s="2" t="str">
        <x:v>门控加收缩</x:v>
      </x:c>
      <x:c r="D30" s="9" t="n">
        <x:v>0.9926911544227885</x:v>
      </x:c>
      <x:c r="E30" s="9" t="n">
        <x:v>0.9772371484316813</x:v>
      </x:c>
      <x:c r="F30" s="9" t="n">
        <x:v>0.9657523886759702</x:v>
      </x:c>
      <x:c r="G30" s="10" t="n">
        <x:f>D30-SUMIFS(D$5:D$304,$A$5:$A$304,$A30,$B$5:$B$304,$B30,$C$5:$C$304,"双分支固定")</x:f>
        <x:v>0</x:v>
      </x:c>
      <x:c r="H30" s="10" t="n">
        <x:f>E30-SUMIFS(E$5:E$304,$A$5:$A$304,$A30,$B$5:$B$304,$B30,$C$5:$C$304,"双分支固定")</x:f>
        <x:v>-0.0004393535265073689</x:v>
      </x:c>
      <x:c r="I30" s="10" t="n">
        <x:f>F30-SUMIFS(F$5:F$304,$A$5:$A$304,$A30,$B$5:$B$304,$B30,$C$5:$C$304,"双分支固定")</x:f>
        <x:v>-0.0003310493167754114</x:v>
      </x:c>
    </x:row>
    <x:row r="31" ht="22" customHeight="1">
      <x:c r="A31" s="2" t="str">
        <x:v>cable</x:v>
      </x:c>
      <x:c r="B31" s="2" t="n">
        <x:v>1</x:v>
      </x:c>
      <x:c r="C31" s="2" t="str">
        <x:v>像素敏感性</x:v>
      </x:c>
      <x:c r="D31" s="9" t="n">
        <x:v>0.9926911544227885</x:v>
      </x:c>
      <x:c r="E31" s="9" t="n">
        <x:v>0.97488637940792</x:v>
      </x:c>
      <x:c r="F31" s="9" t="n">
        <x:v>0.9636507970846505</x:v>
      </x:c>
      <x:c r="G31" s="10" t="n">
        <x:f>D31-SUMIFS(D$5:D$304,$A$5:$A$304,$A31,$B$5:$B$304,$B31,$C$5:$C$304,"双分支固定")</x:f>
        <x:v>0</x:v>
      </x:c>
      <x:c r="H31" s="10" t="n">
        <x:f>E31-SUMIFS(E$5:E$304,$A$5:$A$304,$A31,$B$5:$B$304,$B31,$C$5:$C$304,"双分支固定")</x:f>
        <x:v>-0.00279012255026867</x:v>
      </x:c>
      <x:c r="I31" s="10" t="n">
        <x:f>F31-SUMIFS(F$5:F$304,$A$5:$A$304,$A31,$B$5:$B$304,$B31,$C$5:$C$304,"双分支固定")</x:f>
        <x:v>-0.0024326409080951406</x:v>
      </x:c>
    </x:row>
    <x:row r="32" ht="22" customHeight="1">
      <x:c r="A32" s="2" t="str">
        <x:v>cable</x:v>
      </x:c>
      <x:c r="B32" s="2" t="n">
        <x:v>1</x:v>
      </x:c>
      <x:c r="C32" s="2" t="str">
        <x:v>收缩0.25</x:v>
      </x:c>
      <x:c r="D32" s="9" t="n">
        <x:v>0.9926911544227885</x:v>
      </x:c>
      <x:c r="E32" s="9" t="n">
        <x:v>0.9772371484316813</x:v>
      </x:c>
      <x:c r="F32" s="9" t="n">
        <x:v>0.9657523886759702</x:v>
      </x:c>
      <x:c r="G32" s="10" t="n">
        <x:f>D32-SUMIFS(D$5:D$304,$A$5:$A$304,$A32,$B$5:$B$304,$B32,$C$5:$C$304,"双分支固定")</x:f>
        <x:v>0</x:v>
      </x:c>
      <x:c r="H32" s="10" t="n">
        <x:f>E32-SUMIFS(E$5:E$304,$A$5:$A$304,$A32,$B$5:$B$304,$B32,$C$5:$C$304,"双分支固定")</x:f>
        <x:v>-0.0004393535265073689</x:v>
      </x:c>
      <x:c r="I32" s="10" t="n">
        <x:f>F32-SUMIFS(F$5:F$304,$A$5:$A$304,$A32,$B$5:$B$304,$B32,$C$5:$C$304,"双分支固定")</x:f>
        <x:v>-0.0003310493167754114</x:v>
      </x:c>
    </x:row>
    <x:row r="33" ht="22" customHeight="1">
      <x:c r="A33" s="2" t="str">
        <x:v>cable</x:v>
      </x:c>
      <x:c r="B33" s="2" t="n">
        <x:v>2</x:v>
      </x:c>
      <x:c r="C33" s="2" t="str">
        <x:v>双分支固定</x:v>
      </x:c>
      <x:c r="D33" s="9" t="n">
        <x:v>0.9829460269865068</x:v>
      </x:c>
      <x:c r="E33" s="9" t="n">
        <x:v>0.9778775035634575</x:v>
      </x:c>
      <x:c r="F33" s="9" t="n">
        <x:v>0.9664104069959861</x:v>
      </x:c>
      <x:c r="G33" s="10" t="n">
        <x:f>D33-SUMIFS(D$5:D$304,$A$5:$A$304,$A33,$B$5:$B$304,$B33,$C$5:$C$304,"双分支固定")</x:f>
        <x:v>0</x:v>
      </x:c>
      <x:c r="H33" s="10" t="n">
        <x:f>E33-SUMIFS(E$5:E$304,$A$5:$A$304,$A33,$B$5:$B$304,$B33,$C$5:$C$304,"双分支固定")</x:f>
        <x:v>0</x:v>
      </x:c>
      <x:c r="I33" s="10" t="n">
        <x:f>F33-SUMIFS(F$5:F$304,$A$5:$A$304,$A33,$B$5:$B$304,$B33,$C$5:$C$304,"双分支固定")</x:f>
        <x:v>0</x:v>
      </x:c>
    </x:row>
    <x:row r="34" ht="22" customHeight="1">
      <x:c r="A34" s="2" t="str">
        <x:v>cable</x:v>
      </x:c>
      <x:c r="B34" s="2" t="n">
        <x:v>2</x:v>
      </x:c>
      <x:c r="C34" s="2" t="str">
        <x:v>门控加收缩</x:v>
      </x:c>
      <x:c r="D34" s="9" t="n">
        <x:v>0.9829460269865068</x:v>
      </x:c>
      <x:c r="E34" s="9" t="n">
        <x:v>0.9778775035634575</x:v>
      </x:c>
      <x:c r="F34" s="9" t="n">
        <x:v>0.9664104069959861</x:v>
      </x:c>
      <x:c r="G34" s="10" t="n">
        <x:f>D34-SUMIFS(D$5:D$304,$A$5:$A$304,$A34,$B$5:$B$304,$B34,$C$5:$C$304,"双分支固定")</x:f>
        <x:v>0</x:v>
      </x:c>
      <x:c r="H34" s="10" t="n">
        <x:f>E34-SUMIFS(E$5:E$304,$A$5:$A$304,$A34,$B$5:$B$304,$B34,$C$5:$C$304,"双分支固定")</x:f>
        <x:v>0</x:v>
      </x:c>
      <x:c r="I34" s="10" t="n">
        <x:f>F34-SUMIFS(F$5:F$304,$A$5:$A$304,$A34,$B$5:$B$304,$B34,$C$5:$C$304,"双分支固定")</x:f>
        <x:v>0</x:v>
      </x:c>
    </x:row>
    <x:row r="35" ht="22" customHeight="1">
      <x:c r="A35" s="2" t="str">
        <x:v>cable</x:v>
      </x:c>
      <x:c r="B35" s="2" t="n">
        <x:v>2</x:v>
      </x:c>
      <x:c r="C35" s="2" t="str">
        <x:v>像素敏感性</x:v>
      </x:c>
      <x:c r="D35" s="9" t="n">
        <x:v>0.9829460269865068</x:v>
      </x:c>
      <x:c r="E35" s="9" t="n">
        <x:v>0.9739318546894413</x:v>
      </x:c>
      <x:c r="F35" s="9" t="n">
        <x:v>0.9631804092371616</x:v>
      </x:c>
      <x:c r="G35" s="10" t="n">
        <x:f>D35-SUMIFS(D$5:D$304,$A$5:$A$304,$A35,$B$5:$B$304,$B35,$C$5:$C$304,"双分支固定")</x:f>
        <x:v>0</x:v>
      </x:c>
      <x:c r="H35" s="10" t="n">
        <x:f>E35-SUMIFS(E$5:E$304,$A$5:$A$304,$A35,$B$5:$B$304,$B35,$C$5:$C$304,"双分支固定")</x:f>
        <x:v>-0.003945648874016161</x:v>
      </x:c>
      <x:c r="I35" s="10" t="n">
        <x:f>F35-SUMIFS(F$5:F$304,$A$5:$A$304,$A35,$B$5:$B$304,$B35,$C$5:$C$304,"双分支固定")</x:f>
        <x:v>-0.0032299977588244877</x:v>
      </x:c>
    </x:row>
    <x:row r="36" ht="22" customHeight="1">
      <x:c r="A36" s="2" t="str">
        <x:v>cable</x:v>
      </x:c>
      <x:c r="B36" s="2" t="n">
        <x:v>2</x:v>
      </x:c>
      <x:c r="C36" s="2" t="str">
        <x:v>收缩0.25</x:v>
      </x:c>
      <x:c r="D36" s="9" t="n">
        <x:v>0.9829460269865068</x:v>
      </x:c>
      <x:c r="E36" s="9" t="n">
        <x:v>0.9775212023393844</x:v>
      </x:c>
      <x:c r="F36" s="9" t="n">
        <x:v>0.9662916525466834</x:v>
      </x:c>
      <x:c r="G36" s="10" t="n">
        <x:f>D36-SUMIFS(D$5:D$304,$A$5:$A$304,$A36,$B$5:$B$304,$B36,$C$5:$C$304,"双分支固定")</x:f>
        <x:v>0</x:v>
      </x:c>
      <x:c r="H36" s="10" t="n">
        <x:f>E36-SUMIFS(E$5:E$304,$A$5:$A$304,$A36,$B$5:$B$304,$B36,$C$5:$C$304,"双分支固定")</x:f>
        <x:v>-0.0003563012240730412</x:v>
      </x:c>
      <x:c r="I36" s="10" t="n">
        <x:f>F36-SUMIFS(F$5:F$304,$A$5:$A$304,$A36,$B$5:$B$304,$B36,$C$5:$C$304,"双分支固定")</x:f>
        <x:v>-0.00011875444930276036</x:v>
      </x:c>
    </x:row>
    <x:row r="37" ht="22" customHeight="1">
      <x:c r="A37" s="2" t="str">
        <x:v>cable</x:v>
      </x:c>
      <x:c r="B37" s="2" t="n">
        <x:v>3</x:v>
      </x:c>
      <x:c r="C37" s="2" t="str">
        <x:v>双分支固定</x:v>
      </x:c>
      <x:c r="D37" s="9" t="n">
        <x:v>0.9887556221889056</x:v>
      </x:c>
      <x:c r="E37" s="9" t="n">
        <x:v>0.9796636046982748</x:v>
      </x:c>
      <x:c r="F37" s="9" t="n">
        <x:v>0.9686287804355455</x:v>
      </x:c>
      <x:c r="G37" s="10" t="n">
        <x:f>D37-SUMIFS(D$5:D$304,$A$5:$A$304,$A37,$B$5:$B$304,$B37,$C$5:$C$304,"双分支固定")</x:f>
        <x:v>0</x:v>
      </x:c>
      <x:c r="H37" s="10" t="n">
        <x:f>E37-SUMIFS(E$5:E$304,$A$5:$A$304,$A37,$B$5:$B$304,$B37,$C$5:$C$304,"双分支固定")</x:f>
        <x:v>0</x:v>
      </x:c>
      <x:c r="I37" s="10" t="n">
        <x:f>F37-SUMIFS(F$5:F$304,$A$5:$A$304,$A37,$B$5:$B$304,$B37,$C$5:$C$304,"双分支固定")</x:f>
        <x:v>0</x:v>
      </x:c>
    </x:row>
    <x:row r="38" ht="22" customHeight="1">
      <x:c r="A38" s="2" t="str">
        <x:v>cable</x:v>
      </x:c>
      <x:c r="B38" s="2" t="n">
        <x:v>3</x:v>
      </x:c>
      <x:c r="C38" s="2" t="str">
        <x:v>门控加收缩</x:v>
      </x:c>
      <x:c r="D38" s="9" t="n">
        <x:v>0.9887556221889056</x:v>
      </x:c>
      <x:c r="E38" s="9" t="n">
        <x:v>0.979298102054355</x:v>
      </x:c>
      <x:c r="F38" s="9" t="n">
        <x:v>0.9683481517311009</x:v>
      </x:c>
      <x:c r="G38" s="10" t="n">
        <x:f>D38-SUMIFS(D$5:D$304,$A$5:$A$304,$A38,$B$5:$B$304,$B38,$C$5:$C$304,"双分支固定")</x:f>
        <x:v>0</x:v>
      </x:c>
      <x:c r="H38" s="10" t="n">
        <x:f>E38-SUMIFS(E$5:E$304,$A$5:$A$304,$A38,$B$5:$B$304,$B38,$C$5:$C$304,"双分支固定")</x:f>
        <x:v>-0.0003655026439198794</x:v>
      </x:c>
      <x:c r="I38" s="10" t="n">
        <x:f>F38-SUMIFS(F$5:F$304,$A$5:$A$304,$A38,$B$5:$B$304,$B38,$C$5:$C$304,"双分支固定")</x:f>
        <x:v>-0.0002806287044445632</x:v>
      </x:c>
    </x:row>
    <x:row r="39" ht="22" customHeight="1">
      <x:c r="A39" s="2" t="str">
        <x:v>cable</x:v>
      </x:c>
      <x:c r="B39" s="2" t="n">
        <x:v>3</x:v>
      </x:c>
      <x:c r="C39" s="2" t="str">
        <x:v>像素敏感性</x:v>
      </x:c>
      <x:c r="D39" s="9" t="n">
        <x:v>0.9887556221889056</x:v>
      </x:c>
      <x:c r="E39" s="9" t="n">
        <x:v>0.9771669012364047</x:v>
      </x:c>
      <x:c r="F39" s="9" t="n">
        <x:v>0.9663709116531177</x:v>
      </x:c>
      <x:c r="G39" s="10" t="n">
        <x:f>D39-SUMIFS(D$5:D$304,$A$5:$A$304,$A39,$B$5:$B$304,$B39,$C$5:$C$304,"双分支固定")</x:f>
        <x:v>0</x:v>
      </x:c>
      <x:c r="H39" s="10" t="n">
        <x:f>E39-SUMIFS(E$5:E$304,$A$5:$A$304,$A39,$B$5:$B$304,$B39,$C$5:$C$304,"双分支固定")</x:f>
        <x:v>-0.0024967034618701422</x:v>
      </x:c>
      <x:c r="I39" s="10" t="n">
        <x:f>F39-SUMIFS(F$5:F$304,$A$5:$A$304,$A39,$B$5:$B$304,$B39,$C$5:$C$304,"双分支固定")</x:f>
        <x:v>-0.00225786878242773</x:v>
      </x:c>
    </x:row>
    <x:row r="40" ht="22" customHeight="1">
      <x:c r="A40" s="2" t="str">
        <x:v>cable</x:v>
      </x:c>
      <x:c r="B40" s="2" t="n">
        <x:v>3</x:v>
      </x:c>
      <x:c r="C40" s="2" t="str">
        <x:v>收缩0.25</x:v>
      </x:c>
      <x:c r="D40" s="9" t="n">
        <x:v>0.9887556221889056</x:v>
      </x:c>
      <x:c r="E40" s="9" t="n">
        <x:v>0.979298102054355</x:v>
      </x:c>
      <x:c r="F40" s="9" t="n">
        <x:v>0.9683481517311009</x:v>
      </x:c>
      <x:c r="G40" s="10" t="n">
        <x:f>D40-SUMIFS(D$5:D$304,$A$5:$A$304,$A40,$B$5:$B$304,$B40,$C$5:$C$304,"双分支固定")</x:f>
        <x:v>0</x:v>
      </x:c>
      <x:c r="H40" s="10" t="n">
        <x:f>E40-SUMIFS(E$5:E$304,$A$5:$A$304,$A40,$B$5:$B$304,$B40,$C$5:$C$304,"双分支固定")</x:f>
        <x:v>-0.0003655026439198794</x:v>
      </x:c>
      <x:c r="I40" s="10" t="n">
        <x:f>F40-SUMIFS(F$5:F$304,$A$5:$A$304,$A40,$B$5:$B$304,$B40,$C$5:$C$304,"双分支固定")</x:f>
        <x:v>-0.0002806287044445632</x:v>
      </x:c>
    </x:row>
    <x:row r="41" ht="22" customHeight="1">
      <x:c r="A41" s="2" t="str">
        <x:v>cable</x:v>
      </x:c>
      <x:c r="B41" s="2" t="n">
        <x:v>4</x:v>
      </x:c>
      <x:c r="C41" s="2" t="str">
        <x:v>双分支固定</x:v>
      </x:c>
      <x:c r="D41" s="9" t="n">
        <x:v>0.9951274362818592</x:v>
      </x:c>
      <x:c r="E41" s="9" t="n">
        <x:v>0.9777065015379354</x:v>
      </x:c>
      <x:c r="F41" s="9" t="n">
        <x:v>0.9664728868935578</x:v>
      </x:c>
      <x:c r="G41" s="10" t="n">
        <x:f>D41-SUMIFS(D$5:D$304,$A$5:$A$304,$A41,$B$5:$B$304,$B41,$C$5:$C$304,"双分支固定")</x:f>
        <x:v>0</x:v>
      </x:c>
      <x:c r="H41" s="10" t="n">
        <x:f>E41-SUMIFS(E$5:E$304,$A$5:$A$304,$A41,$B$5:$B$304,$B41,$C$5:$C$304,"双分支固定")</x:f>
        <x:v>0</x:v>
      </x:c>
      <x:c r="I41" s="10" t="n">
        <x:f>F41-SUMIFS(F$5:F$304,$A$5:$A$304,$A41,$B$5:$B$304,$B41,$C$5:$C$304,"双分支固定")</x:f>
        <x:v>0</x:v>
      </x:c>
    </x:row>
    <x:row r="42" ht="22" customHeight="1">
      <x:c r="A42" s="2" t="str">
        <x:v>cable</x:v>
      </x:c>
      <x:c r="B42" s="2" t="n">
        <x:v>4</x:v>
      </x:c>
      <x:c r="C42" s="2" t="str">
        <x:v>门控加收缩</x:v>
      </x:c>
      <x:c r="D42" s="9" t="n">
        <x:v>0.9951274362818592</x:v>
      </x:c>
      <x:c r="E42" s="9" t="n">
        <x:v>0.9771102014260165</x:v>
      </x:c>
      <x:c r="F42" s="9" t="n">
        <x:v>0.96608362280802</x:v>
      </x:c>
      <x:c r="G42" s="10" t="n">
        <x:f>D42-SUMIFS(D$5:D$304,$A$5:$A$304,$A42,$B$5:$B$304,$B42,$C$5:$C$304,"双分支固定")</x:f>
        <x:v>0</x:v>
      </x:c>
      <x:c r="H42" s="10" t="n">
        <x:f>E42-SUMIFS(E$5:E$304,$A$5:$A$304,$A42,$B$5:$B$304,$B42,$C$5:$C$304,"双分支固定")</x:f>
        <x:v>-0.0005963001119189126</x:v>
      </x:c>
      <x:c r="I42" s="10" t="n">
        <x:f>F42-SUMIFS(F$5:F$304,$A$5:$A$304,$A42,$B$5:$B$304,$B42,$C$5:$C$304,"双分支固定")</x:f>
        <x:v>-0.00038926408553785485</x:v>
      </x:c>
    </x:row>
    <x:row r="43" ht="22" customHeight="1">
      <x:c r="A43" s="2" t="str">
        <x:v>cable</x:v>
      </x:c>
      <x:c r="B43" s="2" t="n">
        <x:v>4</x:v>
      </x:c>
      <x:c r="C43" s="2" t="str">
        <x:v>像素敏感性</x:v>
      </x:c>
      <x:c r="D43" s="9" t="n">
        <x:v>0.9951274362818592</x:v>
      </x:c>
      <x:c r="E43" s="9" t="n">
        <x:v>0.9730380050711083</x:v>
      </x:c>
      <x:c r="F43" s="9" t="n">
        <x:v>0.9624709126483322</x:v>
      </x:c>
      <x:c r="G43" s="10" t="n">
        <x:f>D43-SUMIFS(D$5:D$304,$A$5:$A$304,$A43,$B$5:$B$304,$B43,$C$5:$C$304,"双分支固定")</x:f>
        <x:v>0</x:v>
      </x:c>
      <x:c r="H43" s="10" t="n">
        <x:f>E43-SUMIFS(E$5:E$304,$A$5:$A$304,$A43,$B$5:$B$304,$B43,$C$5:$C$304,"双分支固定")</x:f>
        <x:v>-0.004668496466827099</x:v>
      </x:c>
      <x:c r="I43" s="10" t="n">
        <x:f>F43-SUMIFS(F$5:F$304,$A$5:$A$304,$A43,$B$5:$B$304,$B43,$C$5:$C$304,"双分支固定")</x:f>
        <x:v>-0.004001974245225637</x:v>
      </x:c>
    </x:row>
    <x:row r="44" ht="22" customHeight="1">
      <x:c r="A44" s="2" t="str">
        <x:v>cable</x:v>
      </x:c>
      <x:c r="B44" s="2" t="n">
        <x:v>4</x:v>
      </x:c>
      <x:c r="C44" s="2" t="str">
        <x:v>收缩0.25</x:v>
      </x:c>
      <x:c r="D44" s="9" t="n">
        <x:v>0.9951274362818592</x:v>
      </x:c>
      <x:c r="E44" s="9" t="n">
        <x:v>0.9771102014260165</x:v>
      </x:c>
      <x:c r="F44" s="9" t="n">
        <x:v>0.96608362280802</x:v>
      </x:c>
      <x:c r="G44" s="10" t="n">
        <x:f>D44-SUMIFS(D$5:D$304,$A$5:$A$304,$A44,$B$5:$B$304,$B44,$C$5:$C$304,"双分支固定")</x:f>
        <x:v>0</x:v>
      </x:c>
      <x:c r="H44" s="10" t="n">
        <x:f>E44-SUMIFS(E$5:E$304,$A$5:$A$304,$A44,$B$5:$B$304,$B44,$C$5:$C$304,"双分支固定")</x:f>
        <x:v>-0.0005963001119189126</x:v>
      </x:c>
      <x:c r="I44" s="10" t="n">
        <x:f>F44-SUMIFS(F$5:F$304,$A$5:$A$304,$A44,$B$5:$B$304,$B44,$C$5:$C$304,"双分支固定")</x:f>
        <x:v>-0.00038926408553785485</x:v>
      </x:c>
    </x:row>
    <x:row r="45" ht="22" customHeight="1">
      <x:c r="A45" s="2" t="str">
        <x:v>capsule</x:v>
      </x:c>
      <x:c r="B45" s="2" t="n">
        <x:v>0</x:v>
      </x:c>
      <x:c r="C45" s="2" t="str">
        <x:v>双分支固定</x:v>
      </x:c>
      <x:c r="D45" s="9" t="n">
        <x:v>0.9549262066214599</x:v>
      </x:c>
      <x:c r="E45" s="9" t="n">
        <x:v>0.9883455652501052</x:v>
      </x:c>
      <x:c r="F45" s="9" t="n">
        <x:v>0.9860579734671068</x:v>
      </x:c>
      <x:c r="G45" s="10" t="n">
        <x:f>D45-SUMIFS(D$5:D$304,$A$5:$A$304,$A45,$B$5:$B$304,$B45,$C$5:$C$304,"双分支固定")</x:f>
        <x:v>0</x:v>
      </x:c>
      <x:c r="H45" s="10" t="n">
        <x:f>E45-SUMIFS(E$5:E$304,$A$5:$A$304,$A45,$B$5:$B$304,$B45,$C$5:$C$304,"双分支固定")</x:f>
        <x:v>0</x:v>
      </x:c>
      <x:c r="I45" s="10" t="n">
        <x:f>F45-SUMIFS(F$5:F$304,$A$5:$A$304,$A45,$B$5:$B$304,$B45,$C$5:$C$304,"双分支固定")</x:f>
        <x:v>0</x:v>
      </x:c>
    </x:row>
    <x:row r="46" ht="22" customHeight="1">
      <x:c r="A46" s="2" t="str">
        <x:v>capsule</x:v>
      </x:c>
      <x:c r="B46" s="2" t="n">
        <x:v>0</x:v>
      </x:c>
      <x:c r="C46" s="2" t="str">
        <x:v>门控加收缩</x:v>
      </x:c>
      <x:c r="D46" s="9" t="n">
        <x:v>0.9549262066214599</x:v>
      </x:c>
      <x:c r="E46" s="9" t="n">
        <x:v>0.9883455652501052</x:v>
      </x:c>
      <x:c r="F46" s="9" t="n">
        <x:v>0.9860579734671068</x:v>
      </x:c>
      <x:c r="G46" s="10" t="n">
        <x:f>D46-SUMIFS(D$5:D$304,$A$5:$A$304,$A46,$B$5:$B$304,$B46,$C$5:$C$304,"双分支固定")</x:f>
        <x:v>0</x:v>
      </x:c>
      <x:c r="H46" s="10" t="n">
        <x:f>E46-SUMIFS(E$5:E$304,$A$5:$A$304,$A46,$B$5:$B$304,$B46,$C$5:$C$304,"双分支固定")</x:f>
        <x:v>0</x:v>
      </x:c>
      <x:c r="I46" s="10" t="n">
        <x:f>F46-SUMIFS(F$5:F$304,$A$5:$A$304,$A46,$B$5:$B$304,$B46,$C$5:$C$304,"双分支固定")</x:f>
        <x:v>0</x:v>
      </x:c>
    </x:row>
    <x:row r="47" ht="22" customHeight="1">
      <x:c r="A47" s="2" t="str">
        <x:v>capsule</x:v>
      </x:c>
      <x:c r="B47" s="2" t="n">
        <x:v>0</x:v>
      </x:c>
      <x:c r="C47" s="2" t="str">
        <x:v>像素敏感性</x:v>
      </x:c>
      <x:c r="D47" s="9" t="n">
        <x:v>0.9549262066214599</x:v>
      </x:c>
      <x:c r="E47" s="9" t="n">
        <x:v>0.9888753605505819</x:v>
      </x:c>
      <x:c r="F47" s="9" t="n">
        <x:v>0.9867038380728844</x:v>
      </x:c>
      <x:c r="G47" s="10" t="n">
        <x:f>D47-SUMIFS(D$5:D$304,$A$5:$A$304,$A47,$B$5:$B$304,$B47,$C$5:$C$304,"双分支固定")</x:f>
        <x:v>0</x:v>
      </x:c>
      <x:c r="H47" s="10" t="n">
        <x:f>E47-SUMIFS(E$5:E$304,$A$5:$A$304,$A47,$B$5:$B$304,$B47,$C$5:$C$304,"双分支固定")</x:f>
        <x:v>0.0005297953004766986</x:v>
      </x:c>
      <x:c r="I47" s="10" t="n">
        <x:f>F47-SUMIFS(F$5:F$304,$A$5:$A$304,$A47,$B$5:$B$304,$B47,$C$5:$C$304,"双分支固定")</x:f>
        <x:v>0.0006458646057776463</x:v>
      </x:c>
    </x:row>
    <x:row r="48" ht="22" customHeight="1">
      <x:c r="A48" s="2" t="str">
        <x:v>capsule</x:v>
      </x:c>
      <x:c r="B48" s="2" t="n">
        <x:v>0</x:v>
      </x:c>
      <x:c r="C48" s="2" t="str">
        <x:v>收缩0.25</x:v>
      </x:c>
      <x:c r="D48" s="9" t="n">
        <x:v>0.9549262066214599</x:v>
      </x:c>
      <x:c r="E48" s="9" t="n">
        <x:v>0.9885202333938263</x:v>
      </x:c>
      <x:c r="F48" s="9" t="n">
        <x:v>0.986268014392909</x:v>
      </x:c>
      <x:c r="G48" s="10" t="n">
        <x:f>D48-SUMIFS(D$5:D$304,$A$5:$A$304,$A48,$B$5:$B$304,$B48,$C$5:$C$304,"双分支固定")</x:f>
        <x:v>0</x:v>
      </x:c>
      <x:c r="H48" s="10" t="n">
        <x:f>E48-SUMIFS(E$5:E$304,$A$5:$A$304,$A48,$B$5:$B$304,$B48,$C$5:$C$304,"双分支固定")</x:f>
        <x:v>0.00017466814372113504</x:v>
      </x:c>
      <x:c r="I48" s="10" t="n">
        <x:f>F48-SUMIFS(F$5:F$304,$A$5:$A$304,$A48,$B$5:$B$304,$B48,$C$5:$C$304,"双分支固定")</x:f>
        <x:v>0.0002100409258022351</x:v>
      </x:c>
    </x:row>
    <x:row r="49" ht="22" customHeight="1">
      <x:c r="A49" s="2" t="str">
        <x:v>capsule</x:v>
      </x:c>
      <x:c r="B49" s="2" t="n">
        <x:v>1</x:v>
      </x:c>
      <x:c r="C49" s="2" t="str">
        <x:v>双分支固定</x:v>
      </x:c>
      <x:c r="D49" s="9" t="n">
        <x:v>0.9625049860390905</x:v>
      </x:c>
      <x:c r="E49" s="9" t="n">
        <x:v>0.9882235983382047</x:v>
      </x:c>
      <x:c r="F49" s="9" t="n">
        <x:v>0.9859072932448888</x:v>
      </x:c>
      <x:c r="G49" s="10" t="n">
        <x:f>D49-SUMIFS(D$5:D$304,$A$5:$A$304,$A49,$B$5:$B$304,$B49,$C$5:$C$304,"双分支固定")</x:f>
        <x:v>0</x:v>
      </x:c>
      <x:c r="H49" s="10" t="n">
        <x:f>E49-SUMIFS(E$5:E$304,$A$5:$A$304,$A49,$B$5:$B$304,$B49,$C$5:$C$304,"双分支固定")</x:f>
        <x:v>0</x:v>
      </x:c>
      <x:c r="I49" s="10" t="n">
        <x:f>F49-SUMIFS(F$5:F$304,$A$5:$A$304,$A49,$B$5:$B$304,$B49,$C$5:$C$304,"双分支固定")</x:f>
        <x:v>0</x:v>
      </x:c>
    </x:row>
    <x:row r="50" ht="22" customHeight="1">
      <x:c r="A50" s="2" t="str">
        <x:v>capsule</x:v>
      </x:c>
      <x:c r="B50" s="2" t="n">
        <x:v>1</x:v>
      </x:c>
      <x:c r="C50" s="2" t="str">
        <x:v>门控加收缩</x:v>
      </x:c>
      <x:c r="D50" s="9" t="n">
        <x:v>0.9625049860390905</x:v>
      </x:c>
      <x:c r="E50" s="9" t="n">
        <x:v>0.9882235983382047</x:v>
      </x:c>
      <x:c r="F50" s="9" t="n">
        <x:v>0.9859072932448888</x:v>
      </x:c>
      <x:c r="G50" s="10" t="n">
        <x:f>D50-SUMIFS(D$5:D$304,$A$5:$A$304,$A50,$B$5:$B$304,$B50,$C$5:$C$304,"双分支固定")</x:f>
        <x:v>0</x:v>
      </x:c>
      <x:c r="H50" s="10" t="n">
        <x:f>E50-SUMIFS(E$5:E$304,$A$5:$A$304,$A50,$B$5:$B$304,$B50,$C$5:$C$304,"双分支固定")</x:f>
        <x:v>0</x:v>
      </x:c>
      <x:c r="I50" s="10" t="n">
        <x:f>F50-SUMIFS(F$5:F$304,$A$5:$A$304,$A50,$B$5:$B$304,$B50,$C$5:$C$304,"双分支固定")</x:f>
        <x:v>0</x:v>
      </x:c>
    </x:row>
    <x:row r="51" ht="22" customHeight="1">
      <x:c r="A51" s="2" t="str">
        <x:v>capsule</x:v>
      </x:c>
      <x:c r="B51" s="2" t="n">
        <x:v>1</x:v>
      </x:c>
      <x:c r="C51" s="2" t="str">
        <x:v>像素敏感性</x:v>
      </x:c>
      <x:c r="D51" s="9" t="n">
        <x:v>0.9625049860390905</x:v>
      </x:c>
      <x:c r="E51" s="9" t="n">
        <x:v>0.9881845463894723</x:v>
      </x:c>
      <x:c r="F51" s="9" t="n">
        <x:v>0.9858609504383593</x:v>
      </x:c>
      <x:c r="G51" s="10" t="n">
        <x:f>D51-SUMIFS(D$5:D$304,$A$5:$A$304,$A51,$B$5:$B$304,$B51,$C$5:$C$304,"双分支固定")</x:f>
        <x:v>0</x:v>
      </x:c>
      <x:c r="H51" s="10" t="n">
        <x:f>E51-SUMIFS(E$5:E$304,$A$5:$A$304,$A51,$B$5:$B$304,$B51,$C$5:$C$304,"双分支固定")</x:f>
        <x:v>-0.00003905194873243811</x:v>
      </x:c>
      <x:c r="I51" s="10" t="n">
        <x:f>F51-SUMIFS(F$5:F$304,$A$5:$A$304,$A51,$B$5:$B$304,$B51,$C$5:$C$304,"双分支固定")</x:f>
        <x:v>-0.00004634280652948686</x:v>
      </x:c>
    </x:row>
    <x:row r="52" ht="22" customHeight="1">
      <x:c r="A52" s="2" t="str">
        <x:v>capsule</x:v>
      </x:c>
      <x:c r="B52" s="2" t="n">
        <x:v>1</x:v>
      </x:c>
      <x:c r="C52" s="2" t="str">
        <x:v>收缩0.25</x:v>
      </x:c>
      <x:c r="D52" s="9" t="n">
        <x:v>0.9625049860390905</x:v>
      </x:c>
      <x:c r="E52" s="9" t="n">
        <x:v>0.9882139509459951</x:v>
      </x:c>
      <x:c r="F52" s="9" t="n">
        <x:v>0.9858958396773676</x:v>
      </x:c>
      <x:c r="G52" s="10" t="n">
        <x:f>D52-SUMIFS(D$5:D$304,$A$5:$A$304,$A52,$B$5:$B$304,$B52,$C$5:$C$304,"双分支固定")</x:f>
        <x:v>0</x:v>
      </x:c>
      <x:c r="H52" s="10" t="n">
        <x:f>E52-SUMIFS(E$5:E$304,$A$5:$A$304,$A52,$B$5:$B$304,$B52,$C$5:$C$304,"双分支固定")</x:f>
        <x:v>-0.000009647392209655159</x:v>
      </x:c>
      <x:c r="I52" s="10" t="n">
        <x:f>F52-SUMIFS(F$5:F$304,$A$5:$A$304,$A52,$B$5:$B$304,$B52,$C$5:$C$304,"双分支固定")</x:f>
        <x:v>-0.00001145356752119131</x:v>
      </x:c>
    </x:row>
    <x:row r="53" ht="22" customHeight="1">
      <x:c r="A53" s="2" t="str">
        <x:v>capsule</x:v>
      </x:c>
      <x:c r="B53" s="2" t="n">
        <x:v>2</x:v>
      </x:c>
      <x:c r="C53" s="2" t="str">
        <x:v>双分支固定</x:v>
      </x:c>
      <x:c r="D53" s="9" t="n">
        <x:v>0.9549262066214599</x:v>
      </x:c>
      <x:c r="E53" s="9" t="n">
        <x:v>0.988332694068107</x:v>
      </x:c>
      <x:c r="F53" s="9" t="n">
        <x:v>0.986033122238885</x:v>
      </x:c>
      <x:c r="G53" s="10" t="n">
        <x:f>D53-SUMIFS(D$5:D$304,$A$5:$A$304,$A53,$B$5:$B$304,$B53,$C$5:$C$304,"双分支固定")</x:f>
        <x:v>0</x:v>
      </x:c>
      <x:c r="H53" s="10" t="n">
        <x:f>E53-SUMIFS(E$5:E$304,$A$5:$A$304,$A53,$B$5:$B$304,$B53,$C$5:$C$304,"双分支固定")</x:f>
        <x:v>0</x:v>
      </x:c>
      <x:c r="I53" s="10" t="n">
        <x:f>F53-SUMIFS(F$5:F$304,$A$5:$A$304,$A53,$B$5:$B$304,$B53,$C$5:$C$304,"双分支固定")</x:f>
        <x:v>0</x:v>
      </x:c>
    </x:row>
    <x:row r="54" ht="22" customHeight="1">
      <x:c r="A54" s="2" t="str">
        <x:v>capsule</x:v>
      </x:c>
      <x:c r="B54" s="2" t="n">
        <x:v>2</x:v>
      </x:c>
      <x:c r="C54" s="2" t="str">
        <x:v>门控加收缩</x:v>
      </x:c>
      <x:c r="D54" s="9" t="n">
        <x:v>0.9549262066214599</x:v>
      </x:c>
      <x:c r="E54" s="9" t="n">
        <x:v>0.988498168986512</x:v>
      </x:c>
      <x:c r="F54" s="9" t="n">
        <x:v>0.9862307814749943</x:v>
      </x:c>
      <x:c r="G54" s="10" t="n">
        <x:f>D54-SUMIFS(D$5:D$304,$A$5:$A$304,$A54,$B$5:$B$304,$B54,$C$5:$C$304,"双分支固定")</x:f>
        <x:v>0</x:v>
      </x:c>
      <x:c r="H54" s="10" t="n">
        <x:f>E54-SUMIFS(E$5:E$304,$A$5:$A$304,$A54,$B$5:$B$304,$B54,$C$5:$C$304,"双分支固定")</x:f>
        <x:v>0.0001654749184050175</x:v>
      </x:c>
      <x:c r="I54" s="10" t="n">
        <x:f>F54-SUMIFS(F$5:F$304,$A$5:$A$304,$A54,$B$5:$B$304,$B54,$C$5:$C$304,"双分支固定")</x:f>
        <x:v>0.00019765923610937097</x:v>
      </x:c>
    </x:row>
    <x:row r="55" ht="22" customHeight="1">
      <x:c r="A55" s="2" t="str">
        <x:v>capsule</x:v>
      </x:c>
      <x:c r="B55" s="2" t="n">
        <x:v>2</x:v>
      </x:c>
      <x:c r="C55" s="2" t="str">
        <x:v>像素敏感性</x:v>
      </x:c>
      <x:c r="D55" s="9" t="n">
        <x:v>0.9549262066214599</x:v>
      </x:c>
      <x:c r="E55" s="9" t="n">
        <x:v>0.9888550547145241</x:v>
      </x:c>
      <x:c r="F55" s="9" t="n">
        <x:v>0.9866658966277355</x:v>
      </x:c>
      <x:c r="G55" s="10" t="n">
        <x:f>D55-SUMIFS(D$5:D$304,$A$5:$A$304,$A55,$B$5:$B$304,$B55,$C$5:$C$304,"双分支固定")</x:f>
        <x:v>0</x:v>
      </x:c>
      <x:c r="H55" s="10" t="n">
        <x:f>E55-SUMIFS(E$5:E$304,$A$5:$A$304,$A55,$B$5:$B$304,$B55,$C$5:$C$304,"双分支固定")</x:f>
        <x:v>0.000522360646417086</x:v>
      </x:c>
      <x:c r="I55" s="10" t="n">
        <x:f>F55-SUMIFS(F$5:F$304,$A$5:$A$304,$A55,$B$5:$B$304,$B55,$C$5:$C$304,"双分支固定")</x:f>
        <x:v>0.0006327743888505655</x:v>
      </x:c>
    </x:row>
    <x:row r="56" ht="22" customHeight="1">
      <x:c r="A56" s="2" t="str">
        <x:v>capsule</x:v>
      </x:c>
      <x:c r="B56" s="2" t="n">
        <x:v>2</x:v>
      </x:c>
      <x:c r="C56" s="2" t="str">
        <x:v>收缩0.25</x:v>
      </x:c>
      <x:c r="D56" s="9" t="n">
        <x:v>0.9549262066214599</x:v>
      </x:c>
      <x:c r="E56" s="9" t="n">
        <x:v>0.988498168986512</x:v>
      </x:c>
      <x:c r="F56" s="9" t="n">
        <x:v>0.9862307814749943</x:v>
      </x:c>
      <x:c r="G56" s="10" t="n">
        <x:f>D56-SUMIFS(D$5:D$304,$A$5:$A$304,$A56,$B$5:$B$304,$B56,$C$5:$C$304,"双分支固定")</x:f>
        <x:v>0</x:v>
      </x:c>
      <x:c r="H56" s="10" t="n">
        <x:f>E56-SUMIFS(E$5:E$304,$A$5:$A$304,$A56,$B$5:$B$304,$B56,$C$5:$C$304,"双分支固定")</x:f>
        <x:v>0.0001654749184050175</x:v>
      </x:c>
      <x:c r="I56" s="10" t="n">
        <x:f>F56-SUMIFS(F$5:F$304,$A$5:$A$304,$A56,$B$5:$B$304,$B56,$C$5:$C$304,"双分支固定")</x:f>
        <x:v>0.00019765923610937097</x:v>
      </x:c>
    </x:row>
    <x:row r="57" ht="22" customHeight="1">
      <x:c r="A57" s="2" t="str">
        <x:v>capsule</x:v>
      </x:c>
      <x:c r="B57" s="2" t="n">
        <x:v>3</x:v>
      </x:c>
      <x:c r="C57" s="2" t="str">
        <x:v>双分支固定</x:v>
      </x:c>
      <x:c r="D57" s="9" t="n">
        <x:v>0.9784603111288392</x:v>
      </x:c>
      <x:c r="E57" s="9" t="n">
        <x:v>0.9885222904641807</x:v>
      </x:c>
      <x:c r="F57" s="9" t="n">
        <x:v>0.9862228803646467</x:v>
      </x:c>
      <x:c r="G57" s="10" t="n">
        <x:f>D57-SUMIFS(D$5:D$304,$A$5:$A$304,$A57,$B$5:$B$304,$B57,$C$5:$C$304,"双分支固定")</x:f>
        <x:v>0</x:v>
      </x:c>
      <x:c r="H57" s="10" t="n">
        <x:f>E57-SUMIFS(E$5:E$304,$A$5:$A$304,$A57,$B$5:$B$304,$B57,$C$5:$C$304,"双分支固定")</x:f>
        <x:v>0</x:v>
      </x:c>
      <x:c r="I57" s="10" t="n">
        <x:f>F57-SUMIFS(F$5:F$304,$A$5:$A$304,$A57,$B$5:$B$304,$B57,$C$5:$C$304,"双分支固定")</x:f>
        <x:v>0</x:v>
      </x:c>
    </x:row>
    <x:row r="58" ht="22" customHeight="1">
      <x:c r="A58" s="2" t="str">
        <x:v>capsule</x:v>
      </x:c>
      <x:c r="B58" s="2" t="n">
        <x:v>3</x:v>
      </x:c>
      <x:c r="C58" s="2" t="str">
        <x:v>门控加收缩</x:v>
      </x:c>
      <x:c r="D58" s="9" t="n">
        <x:v>0.9784603111288392</x:v>
      </x:c>
      <x:c r="E58" s="9" t="n">
        <x:v>0.9885222904641807</x:v>
      </x:c>
      <x:c r="F58" s="9" t="n">
        <x:v>0.9862228803646467</x:v>
      </x:c>
      <x:c r="G58" s="10" t="n">
        <x:f>D58-SUMIFS(D$5:D$304,$A$5:$A$304,$A58,$B$5:$B$304,$B58,$C$5:$C$304,"双分支固定")</x:f>
        <x:v>0</x:v>
      </x:c>
      <x:c r="H58" s="10" t="n">
        <x:f>E58-SUMIFS(E$5:E$304,$A$5:$A$304,$A58,$B$5:$B$304,$B58,$C$5:$C$304,"双分支固定")</x:f>
        <x:v>0</x:v>
      </x:c>
      <x:c r="I58" s="10" t="n">
        <x:f>F58-SUMIFS(F$5:F$304,$A$5:$A$304,$A58,$B$5:$B$304,$B58,$C$5:$C$304,"双分支固定")</x:f>
        <x:v>0</x:v>
      </x:c>
    </x:row>
    <x:row r="59" ht="22" customHeight="1">
      <x:c r="A59" s="2" t="str">
        <x:v>capsule</x:v>
      </x:c>
      <x:c r="B59" s="2" t="n">
        <x:v>3</x:v>
      </x:c>
      <x:c r="C59" s="2" t="str">
        <x:v>像素敏感性</x:v>
      </x:c>
      <x:c r="D59" s="9" t="n">
        <x:v>0.9784603111288392</x:v>
      </x:c>
      <x:c r="E59" s="9" t="n">
        <x:v>0.9881948798062554</x:v>
      </x:c>
      <x:c r="F59" s="9" t="n">
        <x:v>0.985829981555505</x:v>
      </x:c>
      <x:c r="G59" s="10" t="n">
        <x:f>D59-SUMIFS(D$5:D$304,$A$5:$A$304,$A59,$B$5:$B$304,$B59,$C$5:$C$304,"双分支固定")</x:f>
        <x:v>0</x:v>
      </x:c>
      <x:c r="H59" s="10" t="n">
        <x:f>E59-SUMIFS(E$5:E$304,$A$5:$A$304,$A59,$B$5:$B$304,$B59,$C$5:$C$304,"双分支固定")</x:f>
        <x:v>-0.0003274106579252978</x:v>
      </x:c>
      <x:c r="I59" s="10" t="n">
        <x:f>F59-SUMIFS(F$5:F$304,$A$5:$A$304,$A59,$B$5:$B$304,$B59,$C$5:$C$304,"双分支固定")</x:f>
        <x:v>-0.00039289880914161746</x:v>
      </x:c>
    </x:row>
    <x:row r="60" ht="22" customHeight="1">
      <x:c r="A60" s="2" t="str">
        <x:v>capsule</x:v>
      </x:c>
      <x:c r="B60" s="2" t="n">
        <x:v>3</x:v>
      </x:c>
      <x:c r="C60" s="2" t="str">
        <x:v>收缩0.25</x:v>
      </x:c>
      <x:c r="D60" s="9" t="n">
        <x:v>0.9784603111288392</x:v>
      </x:c>
      <x:c r="E60" s="9" t="n">
        <x:v>0.9884491109656957</x:v>
      </x:c>
      <x:c r="F60" s="9" t="n">
        <x:v>0.9861346325140934</x:v>
      </x:c>
      <x:c r="G60" s="10" t="n">
        <x:f>D60-SUMIFS(D$5:D$304,$A$5:$A$304,$A60,$B$5:$B$304,$B60,$C$5:$C$304,"双分支固定")</x:f>
        <x:v>0</x:v>
      </x:c>
      <x:c r="H60" s="10" t="n">
        <x:f>E60-SUMIFS(E$5:E$304,$A$5:$A$304,$A60,$B$5:$B$304,$B60,$C$5:$C$304,"双分支固定")</x:f>
        <x:v>-0.00007317949848506533</x:v>
      </x:c>
      <x:c r="I60" s="10" t="n">
        <x:f>F60-SUMIFS(F$5:F$304,$A$5:$A$304,$A60,$B$5:$B$304,$B60,$C$5:$C$304,"双分支固定")</x:f>
        <x:v>-0.00008824785055328022</x:v>
      </x:c>
    </x:row>
    <x:row r="61" ht="22" customHeight="1">
      <x:c r="A61" s="2" t="str">
        <x:v>capsule</x:v>
      </x:c>
      <x:c r="B61" s="2" t="n">
        <x:v>4</x:v>
      </x:c>
      <x:c r="C61" s="2" t="str">
        <x:v>双分支固定</x:v>
      </x:c>
      <x:c r="D61" s="9" t="n">
        <x:v>0.9692859992022338</x:v>
      </x:c>
      <x:c r="E61" s="9" t="n">
        <x:v>0.9884773072054818</x:v>
      </x:c>
      <x:c r="F61" s="9" t="n">
        <x:v>0.9861700007157621</x:v>
      </x:c>
      <x:c r="G61" s="10" t="n">
        <x:f>D61-SUMIFS(D$5:D$304,$A$5:$A$304,$A61,$B$5:$B$304,$B61,$C$5:$C$304,"双分支固定")</x:f>
        <x:v>0</x:v>
      </x:c>
      <x:c r="H61" s="10" t="n">
        <x:f>E61-SUMIFS(E$5:E$304,$A$5:$A$304,$A61,$B$5:$B$304,$B61,$C$5:$C$304,"双分支固定")</x:f>
        <x:v>0</x:v>
      </x:c>
      <x:c r="I61" s="10" t="n">
        <x:f>F61-SUMIFS(F$5:F$304,$A$5:$A$304,$A61,$B$5:$B$304,$B61,$C$5:$C$304,"双分支固定")</x:f>
        <x:v>0</x:v>
      </x:c>
    </x:row>
    <x:row r="62" ht="22" customHeight="1">
      <x:c r="A62" s="2" t="str">
        <x:v>capsule</x:v>
      </x:c>
      <x:c r="B62" s="2" t="n">
        <x:v>4</x:v>
      </x:c>
      <x:c r="C62" s="2" t="str">
        <x:v>门控加收缩</x:v>
      </x:c>
      <x:c r="D62" s="9" t="n">
        <x:v>0.9692859992022338</x:v>
      </x:c>
      <x:c r="E62" s="9" t="n">
        <x:v>0.9884773072054818</x:v>
      </x:c>
      <x:c r="F62" s="9" t="n">
        <x:v>0.9861700007157621</x:v>
      </x:c>
      <x:c r="G62" s="10" t="n">
        <x:f>D62-SUMIFS(D$5:D$304,$A$5:$A$304,$A62,$B$5:$B$304,$B62,$C$5:$C$304,"双分支固定")</x:f>
        <x:v>0</x:v>
      </x:c>
      <x:c r="H62" s="10" t="n">
        <x:f>E62-SUMIFS(E$5:E$304,$A$5:$A$304,$A62,$B$5:$B$304,$B62,$C$5:$C$304,"双分支固定")</x:f>
        <x:v>0</x:v>
      </x:c>
      <x:c r="I62" s="10" t="n">
        <x:f>F62-SUMIFS(F$5:F$304,$A$5:$A$304,$A62,$B$5:$B$304,$B62,$C$5:$C$304,"双分支固定")</x:f>
        <x:v>0</x:v>
      </x:c>
    </x:row>
    <x:row r="63" ht="22" customHeight="1">
      <x:c r="A63" s="2" t="str">
        <x:v>capsule</x:v>
      </x:c>
      <x:c r="B63" s="2" t="n">
        <x:v>4</x:v>
      </x:c>
      <x:c r="C63" s="2" t="str">
        <x:v>像素敏感性</x:v>
      </x:c>
      <x:c r="D63" s="9" t="n">
        <x:v>0.9692859992022338</x:v>
      </x:c>
      <x:c r="E63" s="9" t="n">
        <x:v>0.9888633335787897</x:v>
      </x:c>
      <x:c r="F63" s="9" t="n">
        <x:v>0.9866617630448633</x:v>
      </x:c>
      <x:c r="G63" s="10" t="n">
        <x:f>D63-SUMIFS(D$5:D$304,$A$5:$A$304,$A63,$B$5:$B$304,$B63,$C$5:$C$304,"双分支固定")</x:f>
        <x:v>0</x:v>
      </x:c>
      <x:c r="H63" s="10" t="n">
        <x:f>E63-SUMIFS(E$5:E$304,$A$5:$A$304,$A63,$B$5:$B$304,$B63,$C$5:$C$304,"双分支固定")</x:f>
        <x:v>0.0003860263733079794</x:v>
      </x:c>
      <x:c r="I63" s="10" t="n">
        <x:f>F63-SUMIFS(F$5:F$304,$A$5:$A$304,$A63,$B$5:$B$304,$B63,$C$5:$C$304,"双分支固定")</x:f>
        <x:v>0.0004917623291011974</x:v>
      </x:c>
    </x:row>
    <x:row r="64" ht="22" customHeight="1">
      <x:c r="A64" s="2" t="str">
        <x:v>capsule</x:v>
      </x:c>
      <x:c r="B64" s="2" t="n">
        <x:v>4</x:v>
      </x:c>
      <x:c r="C64" s="2" t="str">
        <x:v>收缩0.25</x:v>
      </x:c>
      <x:c r="D64" s="9" t="n">
        <x:v>0.9692859992022338</x:v>
      </x:c>
      <x:c r="E64" s="9" t="n">
        <x:v>0.9886075108967939</x:v>
      </x:c>
      <x:c r="F64" s="9" t="n">
        <x:v>0.9863315417895304</x:v>
      </x:c>
      <x:c r="G64" s="10" t="n">
        <x:f>D64-SUMIFS(D$5:D$304,$A$5:$A$304,$A64,$B$5:$B$304,$B64,$C$5:$C$304,"双分支固定")</x:f>
        <x:v>0</x:v>
      </x:c>
      <x:c r="H64" s="10" t="n">
        <x:f>E64-SUMIFS(E$5:E$304,$A$5:$A$304,$A64,$B$5:$B$304,$B64,$C$5:$C$304,"双分支固定")</x:f>
        <x:v>0.00013020369131211407</x:v>
      </x:c>
      <x:c r="I64" s="10" t="n">
        <x:f>F64-SUMIFS(F$5:F$304,$A$5:$A$304,$A64,$B$5:$B$304,$B64,$C$5:$C$304,"双分支固定")</x:f>
        <x:v>0.00016154107376831206</x:v>
      </x:c>
    </x:row>
    <x:row r="65" ht="22" customHeight="1">
      <x:c r="A65" s="2" t="str">
        <x:v>carpet</x:v>
      </x:c>
      <x:c r="B65" s="2" t="n">
        <x:v>0</x:v>
      </x:c>
      <x:c r="C65" s="2" t="str">
        <x:v>双分支固定</x:v>
      </x:c>
      <x:c r="D65" s="9" t="n">
        <x:v>0.9795345104333868</x:v>
      </x:c>
      <x:c r="E65" s="9" t="n">
        <x:v>0.9896164584777292</x:v>
      </x:c>
      <x:c r="F65" s="9" t="n">
        <x:v>0.9865088930613972</x:v>
      </x:c>
      <x:c r="G65" s="10" t="n">
        <x:f>D65-SUMIFS(D$5:D$304,$A$5:$A$304,$A65,$B$5:$B$304,$B65,$C$5:$C$304,"双分支固定")</x:f>
        <x:v>0</x:v>
      </x:c>
      <x:c r="H65" s="10" t="n">
        <x:f>E65-SUMIFS(E$5:E$304,$A$5:$A$304,$A65,$B$5:$B$304,$B65,$C$5:$C$304,"双分支固定")</x:f>
        <x:v>0</x:v>
      </x:c>
      <x:c r="I65" s="10" t="n">
        <x:f>F65-SUMIFS(F$5:F$304,$A$5:$A$304,$A65,$B$5:$B$304,$B65,$C$5:$C$304,"双分支固定")</x:f>
        <x:v>0</x:v>
      </x:c>
    </x:row>
    <x:row r="66" ht="22" customHeight="1">
      <x:c r="A66" s="2" t="str">
        <x:v>carpet</x:v>
      </x:c>
      <x:c r="B66" s="2" t="n">
        <x:v>0</x:v>
      </x:c>
      <x:c r="C66" s="2" t="str">
        <x:v>门控加收缩</x:v>
      </x:c>
      <x:c r="D66" s="9" t="n">
        <x:v>0.9795345104333868</x:v>
      </x:c>
      <x:c r="E66" s="9" t="n">
        <x:v>0.9896164584777292</x:v>
      </x:c>
      <x:c r="F66" s="9" t="n">
        <x:v>0.9865088930613972</x:v>
      </x:c>
      <x:c r="G66" s="10" t="n">
        <x:f>D66-SUMIFS(D$5:D$304,$A$5:$A$304,$A66,$B$5:$B$304,$B66,$C$5:$C$304,"双分支固定")</x:f>
        <x:v>0</x:v>
      </x:c>
      <x:c r="H66" s="10" t="n">
        <x:f>E66-SUMIFS(E$5:E$304,$A$5:$A$304,$A66,$B$5:$B$304,$B66,$C$5:$C$304,"双分支固定")</x:f>
        <x:v>0</x:v>
      </x:c>
      <x:c r="I66" s="10" t="n">
        <x:f>F66-SUMIFS(F$5:F$304,$A$5:$A$304,$A66,$B$5:$B$304,$B66,$C$5:$C$304,"双分支固定")</x:f>
        <x:v>0</x:v>
      </x:c>
    </x:row>
    <x:row r="67" ht="22" customHeight="1">
      <x:c r="A67" s="2" t="str">
        <x:v>carpet</x:v>
      </x:c>
      <x:c r="B67" s="2" t="n">
        <x:v>0</x:v>
      </x:c>
      <x:c r="C67" s="2" t="str">
        <x:v>像素敏感性</x:v>
      </x:c>
      <x:c r="D67" s="9" t="n">
        <x:v>0.9795345104333868</x:v>
      </x:c>
      <x:c r="E67" s="9" t="n">
        <x:v>0.990322468888208</x:v>
      </x:c>
      <x:c r="F67" s="9" t="n">
        <x:v>0.9878596793155949</x:v>
      </x:c>
      <x:c r="G67" s="10" t="n">
        <x:f>D67-SUMIFS(D$5:D$304,$A$5:$A$304,$A67,$B$5:$B$304,$B67,$C$5:$C$304,"双分支固定")</x:f>
        <x:v>0</x:v>
      </x:c>
      <x:c r="H67" s="10" t="n">
        <x:f>E67-SUMIFS(E$5:E$304,$A$5:$A$304,$A67,$B$5:$B$304,$B67,$C$5:$C$304,"双分支固定")</x:f>
        <x:v>0.0007060104104787968</x:v>
      </x:c>
      <x:c r="I67" s="10" t="n">
        <x:f>F67-SUMIFS(F$5:F$304,$A$5:$A$304,$A67,$B$5:$B$304,$B67,$C$5:$C$304,"双分支固定")</x:f>
        <x:v>0.0013507862541977111</x:v>
      </x:c>
    </x:row>
    <x:row r="68" ht="22" customHeight="1">
      <x:c r="A68" s="2" t="str">
        <x:v>carpet</x:v>
      </x:c>
      <x:c r="B68" s="2" t="n">
        <x:v>0</x:v>
      </x:c>
      <x:c r="C68" s="2" t="str">
        <x:v>收缩0.25</x:v>
      </x:c>
      <x:c r="D68" s="9" t="n">
        <x:v>0.9795345104333868</x:v>
      </x:c>
      <x:c r="E68" s="9" t="n">
        <x:v>0.9900604551348281</x:v>
      </x:c>
      <x:c r="F68" s="9" t="n">
        <x:v>0.9871439880633137</x:v>
      </x:c>
      <x:c r="G68" s="10" t="n">
        <x:f>D68-SUMIFS(D$5:D$304,$A$5:$A$304,$A68,$B$5:$B$304,$B68,$C$5:$C$304,"双分支固定")</x:f>
        <x:v>0</x:v>
      </x:c>
      <x:c r="H68" s="10" t="n">
        <x:f>E68-SUMIFS(E$5:E$304,$A$5:$A$304,$A68,$B$5:$B$304,$B68,$C$5:$C$304,"双分支固定")</x:f>
        <x:v>0.0004439966570989329</x:v>
      </x:c>
      <x:c r="I68" s="10" t="n">
        <x:f>F68-SUMIFS(F$5:F$304,$A$5:$A$304,$A68,$B$5:$B$304,$B68,$C$5:$C$304,"双分支固定")</x:f>
        <x:v>0.0006350950019164969</x:v>
      </x:c>
    </x:row>
    <x:row r="69" ht="22" customHeight="1">
      <x:c r="A69" s="2" t="str">
        <x:v>carpet</x:v>
      </x:c>
      <x:c r="B69" s="2" t="n">
        <x:v>1</x:v>
      </x:c>
      <x:c r="C69" s="2" t="str">
        <x:v>双分支固定</x:v>
      </x:c>
      <x:c r="D69" s="9" t="n">
        <x:v>0.9823434991974318</x:v>
      </x:c>
      <x:c r="E69" s="9" t="n">
        <x:v>0.989600359533615</x:v>
      </x:c>
      <x:c r="F69" s="9" t="n">
        <x:v>0.986452837986358</x:v>
      </x:c>
      <x:c r="G69" s="10" t="n">
        <x:f>D69-SUMIFS(D$5:D$304,$A$5:$A$304,$A69,$B$5:$B$304,$B69,$C$5:$C$304,"双分支固定")</x:f>
        <x:v>0</x:v>
      </x:c>
      <x:c r="H69" s="10" t="n">
        <x:f>E69-SUMIFS(E$5:E$304,$A$5:$A$304,$A69,$B$5:$B$304,$B69,$C$5:$C$304,"双分支固定")</x:f>
        <x:v>0</x:v>
      </x:c>
      <x:c r="I69" s="10" t="n">
        <x:f>F69-SUMIFS(F$5:F$304,$A$5:$A$304,$A69,$B$5:$B$304,$B69,$C$5:$C$304,"双分支固定")</x:f>
        <x:v>0</x:v>
      </x:c>
    </x:row>
    <x:row r="70" ht="22" customHeight="1">
      <x:c r="A70" s="2" t="str">
        <x:v>carpet</x:v>
      </x:c>
      <x:c r="B70" s="2" t="n">
        <x:v>1</x:v>
      </x:c>
      <x:c r="C70" s="2" t="str">
        <x:v>门控加收缩</x:v>
      </x:c>
      <x:c r="D70" s="9" t="n">
        <x:v>0.9823434991974318</x:v>
      </x:c>
      <x:c r="E70" s="9" t="n">
        <x:v>0.989600359533615</x:v>
      </x:c>
      <x:c r="F70" s="9" t="n">
        <x:v>0.986452837986358</x:v>
      </x:c>
      <x:c r="G70" s="10" t="n">
        <x:f>D70-SUMIFS(D$5:D$304,$A$5:$A$304,$A70,$B$5:$B$304,$B70,$C$5:$C$304,"双分支固定")</x:f>
        <x:v>0</x:v>
      </x:c>
      <x:c r="H70" s="10" t="n">
        <x:f>E70-SUMIFS(E$5:E$304,$A$5:$A$304,$A70,$B$5:$B$304,$B70,$C$5:$C$304,"双分支固定")</x:f>
        <x:v>0</x:v>
      </x:c>
      <x:c r="I70" s="10" t="n">
        <x:f>F70-SUMIFS(F$5:F$304,$A$5:$A$304,$A70,$B$5:$B$304,$B70,$C$5:$C$304,"双分支固定")</x:f>
        <x:v>0</x:v>
      </x:c>
    </x:row>
    <x:row r="71" ht="22" customHeight="1">
      <x:c r="A71" s="2" t="str">
        <x:v>carpet</x:v>
      </x:c>
      <x:c r="B71" s="2" t="n">
        <x:v>1</x:v>
      </x:c>
      <x:c r="C71" s="2" t="str">
        <x:v>像素敏感性</x:v>
      </x:c>
      <x:c r="D71" s="9" t="n">
        <x:v>0.9823434991974318</x:v>
      </x:c>
      <x:c r="E71" s="9" t="n">
        <x:v>0.9897153655446704</x:v>
      </x:c>
      <x:c r="F71" s="9" t="n">
        <x:v>0.9874607583195154</x:v>
      </x:c>
      <x:c r="G71" s="10" t="n">
        <x:f>D71-SUMIFS(D$5:D$304,$A$5:$A$304,$A71,$B$5:$B$304,$B71,$C$5:$C$304,"双分支固定")</x:f>
        <x:v>0</x:v>
      </x:c>
      <x:c r="H71" s="10" t="n">
        <x:f>E71-SUMIFS(E$5:E$304,$A$5:$A$304,$A71,$B$5:$B$304,$B71,$C$5:$C$304,"双分支固定")</x:f>
        <x:v>0.00011500601105540742</x:v>
      </x:c>
      <x:c r="I71" s="10" t="n">
        <x:f>F71-SUMIFS(F$5:F$304,$A$5:$A$304,$A71,$B$5:$B$304,$B71,$C$5:$C$304,"双分支固定")</x:f>
        <x:v>0.0010079203331574416</x:v>
      </x:c>
    </x:row>
    <x:row r="72" ht="22" customHeight="1">
      <x:c r="A72" s="2" t="str">
        <x:v>carpet</x:v>
      </x:c>
      <x:c r="B72" s="2" t="n">
        <x:v>1</x:v>
      </x:c>
      <x:c r="C72" s="2" t="str">
        <x:v>收缩0.25</x:v>
      </x:c>
      <x:c r="D72" s="9" t="n">
        <x:v>0.9823434991974318</x:v>
      </x:c>
      <x:c r="E72" s="9" t="n">
        <x:v>0.9901736336813459</x:v>
      </x:c>
      <x:c r="F72" s="9" t="n">
        <x:v>0.9872802382480391</x:v>
      </x:c>
      <x:c r="G72" s="10" t="n">
        <x:f>D72-SUMIFS(D$5:D$304,$A$5:$A$304,$A72,$B$5:$B$304,$B72,$C$5:$C$304,"双分支固定")</x:f>
        <x:v>0</x:v>
      </x:c>
      <x:c r="H72" s="10" t="n">
        <x:f>E72-SUMIFS(E$5:E$304,$A$5:$A$304,$A72,$B$5:$B$304,$B72,$C$5:$C$304,"双分支固定")</x:f>
        <x:v>0.0005732741477308956</x:v>
      </x:c>
      <x:c r="I72" s="10" t="n">
        <x:f>F72-SUMIFS(F$5:F$304,$A$5:$A$304,$A72,$B$5:$B$304,$B72,$C$5:$C$304,"双分支固定")</x:f>
        <x:v>0.0008274002616811549</x:v>
      </x:c>
    </x:row>
    <x:row r="73" ht="22" customHeight="1">
      <x:c r="A73" s="2" t="str">
        <x:v>carpet</x:v>
      </x:c>
      <x:c r="B73" s="2" t="n">
        <x:v>2</x:v>
      </x:c>
      <x:c r="C73" s="2" t="str">
        <x:v>双分支固定</x:v>
      </x:c>
      <x:c r="D73" s="9" t="n">
        <x:v>0.9831460674157303</x:v>
      </x:c>
      <x:c r="E73" s="9" t="n">
        <x:v>0.9898016255016282</x:v>
      </x:c>
      <x:c r="F73" s="9" t="n">
        <x:v>0.9867431625655476</x:v>
      </x:c>
      <x:c r="G73" s="10" t="n">
        <x:f>D73-SUMIFS(D$5:D$304,$A$5:$A$304,$A73,$B$5:$B$304,$B73,$C$5:$C$304,"双分支固定")</x:f>
        <x:v>0</x:v>
      </x:c>
      <x:c r="H73" s="10" t="n">
        <x:f>E73-SUMIFS(E$5:E$304,$A$5:$A$304,$A73,$B$5:$B$304,$B73,$C$5:$C$304,"双分支固定")</x:f>
        <x:v>0</x:v>
      </x:c>
      <x:c r="I73" s="10" t="n">
        <x:f>F73-SUMIFS(F$5:F$304,$A$5:$A$304,$A73,$B$5:$B$304,$B73,$C$5:$C$304,"双分支固定")</x:f>
        <x:v>0</x:v>
      </x:c>
    </x:row>
    <x:row r="74" ht="22" customHeight="1">
      <x:c r="A74" s="2" t="str">
        <x:v>carpet</x:v>
      </x:c>
      <x:c r="B74" s="2" t="n">
        <x:v>2</x:v>
      </x:c>
      <x:c r="C74" s="2" t="str">
        <x:v>门控加收缩</x:v>
      </x:c>
      <x:c r="D74" s="9" t="n">
        <x:v>0.9831460674157303</x:v>
      </x:c>
      <x:c r="E74" s="9" t="n">
        <x:v>0.9898016255016282</x:v>
      </x:c>
      <x:c r="F74" s="9" t="n">
        <x:v>0.9867431625655476</x:v>
      </x:c>
      <x:c r="G74" s="10" t="n">
        <x:f>D74-SUMIFS(D$5:D$304,$A$5:$A$304,$A74,$B$5:$B$304,$B74,$C$5:$C$304,"双分支固定")</x:f>
        <x:v>0</x:v>
      </x:c>
      <x:c r="H74" s="10" t="n">
        <x:f>E74-SUMIFS(E$5:E$304,$A$5:$A$304,$A74,$B$5:$B$304,$B74,$C$5:$C$304,"双分支固定")</x:f>
        <x:v>0</x:v>
      </x:c>
      <x:c r="I74" s="10" t="n">
        <x:f>F74-SUMIFS(F$5:F$304,$A$5:$A$304,$A74,$B$5:$B$304,$B74,$C$5:$C$304,"双分支固定")</x:f>
        <x:v>0</x:v>
      </x:c>
    </x:row>
    <x:row r="75" ht="22" customHeight="1">
      <x:c r="A75" s="2" t="str">
        <x:v>carpet</x:v>
      </x:c>
      <x:c r="B75" s="2" t="n">
        <x:v>2</x:v>
      </x:c>
      <x:c r="C75" s="2" t="str">
        <x:v>像素敏感性</x:v>
      </x:c>
      <x:c r="D75" s="9" t="n">
        <x:v>0.9831460674157303</x:v>
      </x:c>
      <x:c r="E75" s="9" t="n">
        <x:v>0.989856809006576</x:v>
      </x:c>
      <x:c r="F75" s="9" t="n">
        <x:v>0.9876259631506928</x:v>
      </x:c>
      <x:c r="G75" s="10" t="n">
        <x:f>D75-SUMIFS(D$5:D$304,$A$5:$A$304,$A75,$B$5:$B$304,$B75,$C$5:$C$304,"双分支固定")</x:f>
        <x:v>0</x:v>
      </x:c>
      <x:c r="H75" s="10" t="n">
        <x:f>E75-SUMIFS(E$5:E$304,$A$5:$A$304,$A75,$B$5:$B$304,$B75,$C$5:$C$304,"双分支固定")</x:f>
        <x:v>0.000055183504947819983</x:v>
      </x:c>
      <x:c r="I75" s="10" t="n">
        <x:f>F75-SUMIFS(F$5:F$304,$A$5:$A$304,$A75,$B$5:$B$304,$B75,$C$5:$C$304,"双分支固定")</x:f>
        <x:v>0.000882800585145227</x:v>
      </x:c>
    </x:row>
    <x:row r="76" ht="22" customHeight="1">
      <x:c r="A76" s="2" t="str">
        <x:v>carpet</x:v>
      </x:c>
      <x:c r="B76" s="2" t="n">
        <x:v>2</x:v>
      </x:c>
      <x:c r="C76" s="2" t="str">
        <x:v>收缩0.25</x:v>
      </x:c>
      <x:c r="D76" s="9" t="n">
        <x:v>0.9831460674157303</x:v>
      </x:c>
      <x:c r="E76" s="9" t="n">
        <x:v>0.9902636236821413</x:v>
      </x:c>
      <x:c r="F76" s="9" t="n">
        <x:v>0.9874414053512582</x:v>
      </x:c>
      <x:c r="G76" s="10" t="n">
        <x:f>D76-SUMIFS(D$5:D$304,$A$5:$A$304,$A76,$B$5:$B$304,$B76,$C$5:$C$304,"双分支固定")</x:f>
        <x:v>0</x:v>
      </x:c>
      <x:c r="H76" s="10" t="n">
        <x:f>E76-SUMIFS(E$5:E$304,$A$5:$A$304,$A76,$B$5:$B$304,$B76,$C$5:$C$304,"双分支固定")</x:f>
        <x:v>0.00046199818051306796</x:v>
      </x:c>
      <x:c r="I76" s="10" t="n">
        <x:f>F76-SUMIFS(F$5:F$304,$A$5:$A$304,$A76,$B$5:$B$304,$B76,$C$5:$C$304,"双分支固定")</x:f>
        <x:v>0.0006982427857106233</x:v>
      </x:c>
    </x:row>
    <x:row r="77" ht="22" customHeight="1">
      <x:c r="A77" s="2" t="str">
        <x:v>carpet</x:v>
      </x:c>
      <x:c r="B77" s="2" t="n">
        <x:v>3</x:v>
      </x:c>
      <x:c r="C77" s="2" t="str">
        <x:v>双分支固定</x:v>
      </x:c>
      <x:c r="D77" s="9" t="n">
        <x:v>0.9831460674157303</x:v>
      </x:c>
      <x:c r="E77" s="9" t="n">
        <x:v>0.9894504081774079</x:v>
      </x:c>
      <x:c r="F77" s="9" t="n">
        <x:v>0.9863292525673786</x:v>
      </x:c>
      <x:c r="G77" s="10" t="n">
        <x:f>D77-SUMIFS(D$5:D$304,$A$5:$A$304,$A77,$B$5:$B$304,$B77,$C$5:$C$304,"双分支固定")</x:f>
        <x:v>0</x:v>
      </x:c>
      <x:c r="H77" s="10" t="n">
        <x:f>E77-SUMIFS(E$5:E$304,$A$5:$A$304,$A77,$B$5:$B$304,$B77,$C$5:$C$304,"双分支固定")</x:f>
        <x:v>0</x:v>
      </x:c>
      <x:c r="I77" s="10" t="n">
        <x:f>F77-SUMIFS(F$5:F$304,$A$5:$A$304,$A77,$B$5:$B$304,$B77,$C$5:$C$304,"双分支固定")</x:f>
        <x:v>0</x:v>
      </x:c>
    </x:row>
    <x:row r="78" ht="22" customHeight="1">
      <x:c r="A78" s="2" t="str">
        <x:v>carpet</x:v>
      </x:c>
      <x:c r="B78" s="2" t="n">
        <x:v>3</x:v>
      </x:c>
      <x:c r="C78" s="2" t="str">
        <x:v>门控加收缩</x:v>
      </x:c>
      <x:c r="D78" s="9" t="n">
        <x:v>0.9831460674157303</x:v>
      </x:c>
      <x:c r="E78" s="9" t="n">
        <x:v>0.9894504081774079</x:v>
      </x:c>
      <x:c r="F78" s="9" t="n">
        <x:v>0.9863292525673786</x:v>
      </x:c>
      <x:c r="G78" s="10" t="n">
        <x:f>D78-SUMIFS(D$5:D$304,$A$5:$A$304,$A78,$B$5:$B$304,$B78,$C$5:$C$304,"双分支固定")</x:f>
        <x:v>0</x:v>
      </x:c>
      <x:c r="H78" s="10" t="n">
        <x:f>E78-SUMIFS(E$5:E$304,$A$5:$A$304,$A78,$B$5:$B$304,$B78,$C$5:$C$304,"双分支固定")</x:f>
        <x:v>0</x:v>
      </x:c>
      <x:c r="I78" s="10" t="n">
        <x:f>F78-SUMIFS(F$5:F$304,$A$5:$A$304,$A78,$B$5:$B$304,$B78,$C$5:$C$304,"双分支固定")</x:f>
        <x:v>0</x:v>
      </x:c>
    </x:row>
    <x:row r="79" ht="22" customHeight="1">
      <x:c r="A79" s="2" t="str">
        <x:v>carpet</x:v>
      </x:c>
      <x:c r="B79" s="2" t="n">
        <x:v>3</x:v>
      </x:c>
      <x:c r="C79" s="2" t="str">
        <x:v>像素敏感性</x:v>
      </x:c>
      <x:c r="D79" s="9" t="n">
        <x:v>0.9831460674157303</x:v>
      </x:c>
      <x:c r="E79" s="9" t="n">
        <x:v>0.9901399391879835</x:v>
      </x:c>
      <x:c r="F79" s="9" t="n">
        <x:v>0.987643813372256</x:v>
      </x:c>
      <x:c r="G79" s="10" t="n">
        <x:f>D79-SUMIFS(D$5:D$304,$A$5:$A$304,$A79,$B$5:$B$304,$B79,$C$5:$C$304,"双分支固定")</x:f>
        <x:v>0</x:v>
      </x:c>
      <x:c r="H79" s="10" t="n">
        <x:f>E79-SUMIFS(E$5:E$304,$A$5:$A$304,$A79,$B$5:$B$304,$B79,$C$5:$C$304,"双分支固定")</x:f>
        <x:v>0.0006895310105755614</x:v>
      </x:c>
      <x:c r="I79" s="10" t="n">
        <x:f>F79-SUMIFS(F$5:F$304,$A$5:$A$304,$A79,$B$5:$B$304,$B79,$C$5:$C$304,"双分支固定")</x:f>
        <x:v>0.0013145608048774626</x:v>
      </x:c>
    </x:row>
    <x:row r="80" ht="22" customHeight="1">
      <x:c r="A80" s="2" t="str">
        <x:v>carpet</x:v>
      </x:c>
      <x:c r="B80" s="2" t="n">
        <x:v>3</x:v>
      </x:c>
      <x:c r="C80" s="2" t="str">
        <x:v>收缩0.25</x:v>
      </x:c>
      <x:c r="D80" s="9" t="n">
        <x:v>0.9831460674157303</x:v>
      </x:c>
      <x:c r="E80" s="9" t="n">
        <x:v>0.989826062142863</x:v>
      </x:c>
      <x:c r="F80" s="9" t="n">
        <x:v>0.9868837478941282</x:v>
      </x:c>
      <x:c r="G80" s="10" t="n">
        <x:f>D80-SUMIFS(D$5:D$304,$A$5:$A$304,$A80,$B$5:$B$304,$B80,$C$5:$C$304,"双分支固定")</x:f>
        <x:v>0</x:v>
      </x:c>
      <x:c r="H80" s="10" t="n">
        <x:f>E80-SUMIFS(E$5:E$304,$A$5:$A$304,$A80,$B$5:$B$304,$B80,$C$5:$C$304,"双分支固定")</x:f>
        <x:v>0.00037565396545502505</x:v>
      </x:c>
      <x:c r="I80" s="10" t="n">
        <x:f>F80-SUMIFS(F$5:F$304,$A$5:$A$304,$A80,$B$5:$B$304,$B80,$C$5:$C$304,"双分支固定")</x:f>
        <x:v>0.0005544953267496711</x:v>
      </x:c>
    </x:row>
    <x:row r="81" ht="22" customHeight="1">
      <x:c r="A81" s="2" t="str">
        <x:v>carpet</x:v>
      </x:c>
      <x:c r="B81" s="2" t="n">
        <x:v>4</x:v>
      </x:c>
      <x:c r="C81" s="2" t="str">
        <x:v>双分支固定</x:v>
      </x:c>
      <x:c r="D81" s="9" t="n">
        <x:v>0.9835473515248796</x:v>
      </x:c>
      <x:c r="E81" s="9" t="n">
        <x:v>0.9902290044056822</x:v>
      </x:c>
      <x:c r="F81" s="9" t="n">
        <x:v>0.9872526147154385</x:v>
      </x:c>
      <x:c r="G81" s="10" t="n">
        <x:f>D81-SUMIFS(D$5:D$304,$A$5:$A$304,$A81,$B$5:$B$304,$B81,$C$5:$C$304,"双分支固定")</x:f>
        <x:v>0</x:v>
      </x:c>
      <x:c r="H81" s="10" t="n">
        <x:f>E81-SUMIFS(E$5:E$304,$A$5:$A$304,$A81,$B$5:$B$304,$B81,$C$5:$C$304,"双分支固定")</x:f>
        <x:v>0</x:v>
      </x:c>
      <x:c r="I81" s="10" t="n">
        <x:f>F81-SUMIFS(F$5:F$304,$A$5:$A$304,$A81,$B$5:$B$304,$B81,$C$5:$C$304,"双分支固定")</x:f>
        <x:v>0</x:v>
      </x:c>
    </x:row>
    <x:row r="82" ht="22" customHeight="1">
      <x:c r="A82" s="2" t="str">
        <x:v>carpet</x:v>
      </x:c>
      <x:c r="B82" s="2" t="n">
        <x:v>4</x:v>
      </x:c>
      <x:c r="C82" s="2" t="str">
        <x:v>门控加收缩</x:v>
      </x:c>
      <x:c r="D82" s="9" t="n">
        <x:v>0.9835473515248796</x:v>
      </x:c>
      <x:c r="E82" s="9" t="n">
        <x:v>0.9902290044056822</x:v>
      </x:c>
      <x:c r="F82" s="9" t="n">
        <x:v>0.9872526147154385</x:v>
      </x:c>
      <x:c r="G82" s="10" t="n">
        <x:f>D82-SUMIFS(D$5:D$304,$A$5:$A$304,$A82,$B$5:$B$304,$B82,$C$5:$C$304,"双分支固定")</x:f>
        <x:v>0</x:v>
      </x:c>
      <x:c r="H82" s="10" t="n">
        <x:f>E82-SUMIFS(E$5:E$304,$A$5:$A$304,$A82,$B$5:$B$304,$B82,$C$5:$C$304,"双分支固定")</x:f>
        <x:v>0</x:v>
      </x:c>
      <x:c r="I82" s="10" t="n">
        <x:f>F82-SUMIFS(F$5:F$304,$A$5:$A$304,$A82,$B$5:$B$304,$B82,$C$5:$C$304,"双分支固定")</x:f>
        <x:v>0</x:v>
      </x:c>
    </x:row>
    <x:row r="83" ht="22" customHeight="1">
      <x:c r="A83" s="2" t="str">
        <x:v>carpet</x:v>
      </x:c>
      <x:c r="B83" s="2" t="n">
        <x:v>4</x:v>
      </x:c>
      <x:c r="C83" s="2" t="str">
        <x:v>像素敏感性</x:v>
      </x:c>
      <x:c r="D83" s="9" t="n">
        <x:v>0.9835473515248796</x:v>
      </x:c>
      <x:c r="E83" s="9" t="n">
        <x:v>0.9904086465949493</x:v>
      </x:c>
      <x:c r="F83" s="9" t="n">
        <x:v>0.9880707670496405</x:v>
      </x:c>
      <x:c r="G83" s="10" t="n">
        <x:f>D83-SUMIFS(D$5:D$304,$A$5:$A$304,$A83,$B$5:$B$304,$B83,$C$5:$C$304,"双分支固定")</x:f>
        <x:v>0</x:v>
      </x:c>
      <x:c r="H83" s="10" t="n">
        <x:f>E83-SUMIFS(E$5:E$304,$A$5:$A$304,$A83,$B$5:$B$304,$B83,$C$5:$C$304,"双分支固定")</x:f>
        <x:v>0.00017964218926713738</x:v>
      </x:c>
      <x:c r="I83" s="10" t="n">
        <x:f>F83-SUMIFS(F$5:F$304,$A$5:$A$304,$A83,$B$5:$B$304,$B83,$C$5:$C$304,"双分支固定")</x:f>
        <x:v>0.0008181523342020158</x:v>
      </x:c>
    </x:row>
    <x:row r="84" ht="22" customHeight="1">
      <x:c r="A84" s="2" t="str">
        <x:v>carpet</x:v>
      </x:c>
      <x:c r="B84" s="2" t="n">
        <x:v>4</x:v>
      </x:c>
      <x:c r="C84" s="2" t="str">
        <x:v>收缩0.25</x:v>
      </x:c>
      <x:c r="D84" s="9" t="n">
        <x:v>0.9835473515248796</x:v>
      </x:c>
      <x:c r="E84" s="9" t="n">
        <x:v>0.9906523073623025</x:v>
      </x:c>
      <x:c r="F84" s="9" t="n">
        <x:v>0.9878659582991943</x:v>
      </x:c>
      <x:c r="G84" s="10" t="n">
        <x:f>D84-SUMIFS(D$5:D$304,$A$5:$A$304,$A84,$B$5:$B$304,$B84,$C$5:$C$304,"双分支固定")</x:f>
        <x:v>0</x:v>
      </x:c>
      <x:c r="H84" s="10" t="n">
        <x:f>E84-SUMIFS(E$5:E$304,$A$5:$A$304,$A84,$B$5:$B$304,$B84,$C$5:$C$304,"双分支固定")</x:f>
        <x:v>0.00042330295662029727</x:v>
      </x:c>
      <x:c r="I84" s="10" t="n">
        <x:f>F84-SUMIFS(F$5:F$304,$A$5:$A$304,$A84,$B$5:$B$304,$B84,$C$5:$C$304,"双分支固定")</x:f>
        <x:v>0.0006133435837558654</x:v>
      </x:c>
    </x:row>
    <x:row r="85" ht="22" customHeight="1">
      <x:c r="A85" s="2" t="str">
        <x:v>grid</x:v>
      </x:c>
      <x:c r="B85" s="2" t="n">
        <x:v>0</x:v>
      </x:c>
      <x:c r="C85" s="2" t="str">
        <x:v>双分支固定</x:v>
      </x:c>
      <x:c r="D85" s="9" t="n">
        <x:v>1</x:v>
      </x:c>
      <x:c r="E85" s="9" t="n">
        <x:v>0.9797450762233725</x:v>
      </x:c>
      <x:c r="F85" s="9" t="n">
        <x:v>0.9735926289333043</x:v>
      </x:c>
      <x:c r="G85" s="10" t="n">
        <x:f>D85-SUMIFS(D$5:D$304,$A$5:$A$304,$A85,$B$5:$B$304,$B85,$C$5:$C$304,"双分支固定")</x:f>
        <x:v>0</x:v>
      </x:c>
      <x:c r="H85" s="10" t="n">
        <x:f>E85-SUMIFS(E$5:E$304,$A$5:$A$304,$A85,$B$5:$B$304,$B85,$C$5:$C$304,"双分支固定")</x:f>
        <x:v>0</x:v>
      </x:c>
      <x:c r="I85" s="10" t="n">
        <x:f>F85-SUMIFS(F$5:F$304,$A$5:$A$304,$A85,$B$5:$B$304,$B85,$C$5:$C$304,"双分支固定")</x:f>
        <x:v>0</x:v>
      </x:c>
    </x:row>
    <x:row r="86" ht="22" customHeight="1">
      <x:c r="A86" s="2" t="str">
        <x:v>grid</x:v>
      </x:c>
      <x:c r="B86" s="2" t="n">
        <x:v>0</x:v>
      </x:c>
      <x:c r="C86" s="2" t="str">
        <x:v>门控加收缩</x:v>
      </x:c>
      <x:c r="D86" s="9" t="n">
        <x:v>1</x:v>
      </x:c>
      <x:c r="E86" s="9" t="n">
        <x:v>0.9797450762233725</x:v>
      </x:c>
      <x:c r="F86" s="9" t="n">
        <x:v>0.9735926289333043</x:v>
      </x:c>
      <x:c r="G86" s="10" t="n">
        <x:f>D86-SUMIFS(D$5:D$304,$A$5:$A$304,$A86,$B$5:$B$304,$B86,$C$5:$C$304,"双分支固定")</x:f>
        <x:v>0</x:v>
      </x:c>
      <x:c r="H86" s="10" t="n">
        <x:f>E86-SUMIFS(E$5:E$304,$A$5:$A$304,$A86,$B$5:$B$304,$B86,$C$5:$C$304,"双分支固定")</x:f>
        <x:v>0</x:v>
      </x:c>
      <x:c r="I86" s="10" t="n">
        <x:f>F86-SUMIFS(F$5:F$304,$A$5:$A$304,$A86,$B$5:$B$304,$B86,$C$5:$C$304,"双分支固定")</x:f>
        <x:v>0</x:v>
      </x:c>
    </x:row>
    <x:row r="87" ht="22" customHeight="1">
      <x:c r="A87" s="2" t="str">
        <x:v>grid</x:v>
      </x:c>
      <x:c r="B87" s="2" t="n">
        <x:v>0</x:v>
      </x:c>
      <x:c r="C87" s="2" t="str">
        <x:v>像素敏感性</x:v>
      </x:c>
      <x:c r="D87" s="9" t="n">
        <x:v>1</x:v>
      </x:c>
      <x:c r="E87" s="9" t="n">
        <x:v>0.986391327200107</x:v>
      </x:c>
      <x:c r="F87" s="9" t="n">
        <x:v>0.9820265129973149</x:v>
      </x:c>
      <x:c r="G87" s="10" t="n">
        <x:f>D87-SUMIFS(D$5:D$304,$A$5:$A$304,$A87,$B$5:$B$304,$B87,$C$5:$C$304,"双分支固定")</x:f>
        <x:v>0</x:v>
      </x:c>
      <x:c r="H87" s="10" t="n">
        <x:f>E87-SUMIFS(E$5:E$304,$A$5:$A$304,$A87,$B$5:$B$304,$B87,$C$5:$C$304,"双分支固定")</x:f>
        <x:v>0.006646250976734547</x:v>
      </x:c>
      <x:c r="I87" s="10" t="n">
        <x:f>F87-SUMIFS(F$5:F$304,$A$5:$A$304,$A87,$B$5:$B$304,$B87,$C$5:$C$304,"双分支固定")</x:f>
        <x:v>0.008433884064010577</x:v>
      </x:c>
    </x:row>
    <x:row r="88" ht="22" customHeight="1">
      <x:c r="A88" s="2" t="str">
        <x:v>grid</x:v>
      </x:c>
      <x:c r="B88" s="2" t="n">
        <x:v>0</x:v>
      </x:c>
      <x:c r="C88" s="2" t="str">
        <x:v>收缩0.25</x:v>
      </x:c>
      <x:c r="D88" s="9" t="n">
        <x:v>1</x:v>
      </x:c>
      <x:c r="E88" s="9" t="n">
        <x:v>0.9829113462419637</x:v>
      </x:c>
      <x:c r="F88" s="9" t="n">
        <x:v>0.9774259905014108</x:v>
      </x:c>
      <x:c r="G88" s="10" t="n">
        <x:f>D88-SUMIFS(D$5:D$304,$A$5:$A$304,$A88,$B$5:$B$304,$B88,$C$5:$C$304,"双分支固定")</x:f>
        <x:v>0</x:v>
      </x:c>
      <x:c r="H88" s="10" t="n">
        <x:f>E88-SUMIFS(E$5:E$304,$A$5:$A$304,$A88,$B$5:$B$304,$B88,$C$5:$C$304,"双分支固定")</x:f>
        <x:v>0.0031662700185912662</x:v>
      </x:c>
      <x:c r="I88" s="10" t="n">
        <x:f>F88-SUMIFS(F$5:F$304,$A$5:$A$304,$A88,$B$5:$B$304,$B88,$C$5:$C$304,"双分支固定")</x:f>
        <x:v>0.0038333615681064304</x:v>
      </x:c>
    </x:row>
    <x:row r="89" ht="22" customHeight="1">
      <x:c r="A89" s="2" t="str">
        <x:v>grid</x:v>
      </x:c>
      <x:c r="B89" s="2" t="n">
        <x:v>1</x:v>
      </x:c>
      <x:c r="C89" s="2" t="str">
        <x:v>双分支固定</x:v>
      </x:c>
      <x:c r="D89" s="9" t="n">
        <x:v>0.9707602339181287</x:v>
      </x:c>
      <x:c r="E89" s="9" t="n">
        <x:v>0.9772151176339805</x:v>
      </x:c>
      <x:c r="F89" s="9" t="n">
        <x:v>0.9714590732671378</x:v>
      </x:c>
      <x:c r="G89" s="10" t="n">
        <x:f>D89-SUMIFS(D$5:D$304,$A$5:$A$304,$A89,$B$5:$B$304,$B89,$C$5:$C$304,"双分支固定")</x:f>
        <x:v>0</x:v>
      </x:c>
      <x:c r="H89" s="10" t="n">
        <x:f>E89-SUMIFS(E$5:E$304,$A$5:$A$304,$A89,$B$5:$B$304,$B89,$C$5:$C$304,"双分支固定")</x:f>
        <x:v>0</x:v>
      </x:c>
      <x:c r="I89" s="10" t="n">
        <x:f>F89-SUMIFS(F$5:F$304,$A$5:$A$304,$A89,$B$5:$B$304,$B89,$C$5:$C$304,"双分支固定")</x:f>
        <x:v>0</x:v>
      </x:c>
    </x:row>
    <x:row r="90" ht="22" customHeight="1">
      <x:c r="A90" s="2" t="str">
        <x:v>grid</x:v>
      </x:c>
      <x:c r="B90" s="2" t="n">
        <x:v>1</x:v>
      </x:c>
      <x:c r="C90" s="2" t="str">
        <x:v>门控加收缩</x:v>
      </x:c>
      <x:c r="D90" s="9" t="n">
        <x:v>0.9707602339181287</x:v>
      </x:c>
      <x:c r="E90" s="9" t="n">
        <x:v>0.9802546771403469</x:v>
      </x:c>
      <x:c r="F90" s="9" t="n">
        <x:v>0.9749535340192698</x:v>
      </x:c>
      <x:c r="G90" s="10" t="n">
        <x:f>D90-SUMIFS(D$5:D$304,$A$5:$A$304,$A90,$B$5:$B$304,$B90,$C$5:$C$304,"双分支固定")</x:f>
        <x:v>0</x:v>
      </x:c>
      <x:c r="H90" s="10" t="n">
        <x:f>E90-SUMIFS(E$5:E$304,$A$5:$A$304,$A90,$B$5:$B$304,$B90,$C$5:$C$304,"双分支固定")</x:f>
        <x:v>0.0030395595063663627</x:v>
      </x:c>
      <x:c r="I90" s="10" t="n">
        <x:f>F90-SUMIFS(F$5:F$304,$A$5:$A$304,$A90,$B$5:$B$304,$B90,$C$5:$C$304,"双分支固定")</x:f>
        <x:v>0.0034944607521320004</x:v>
      </x:c>
    </x:row>
    <x:row r="91" ht="22" customHeight="1">
      <x:c r="A91" s="2" t="str">
        <x:v>grid</x:v>
      </x:c>
      <x:c r="B91" s="2" t="n">
        <x:v>1</x:v>
      </x:c>
      <x:c r="C91" s="2" t="str">
        <x:v>像素敏感性</x:v>
      </x:c>
      <x:c r="D91" s="9" t="n">
        <x:v>0.9707602339181287</x:v>
      </x:c>
      <x:c r="E91" s="9" t="n">
        <x:v>0.9853762358837477</x:v>
      </x:c>
      <x:c r="F91" s="9" t="n">
        <x:v>0.9808302342875777</x:v>
      </x:c>
      <x:c r="G91" s="10" t="n">
        <x:f>D91-SUMIFS(D$5:D$304,$A$5:$A$304,$A91,$B$5:$B$304,$B91,$C$5:$C$304,"双分支固定")</x:f>
        <x:v>0</x:v>
      </x:c>
      <x:c r="H91" s="10" t="n">
        <x:f>E91-SUMIFS(E$5:E$304,$A$5:$A$304,$A91,$B$5:$B$304,$B91,$C$5:$C$304,"双分支固定")</x:f>
        <x:v>0.008161118249767174</x:v>
      </x:c>
      <x:c r="I91" s="10" t="n">
        <x:f>F91-SUMIFS(F$5:F$304,$A$5:$A$304,$A91,$B$5:$B$304,$B91,$C$5:$C$304,"双分支固定")</x:f>
        <x:v>0.009371161020439889</x:v>
      </x:c>
    </x:row>
    <x:row r="92" ht="22" customHeight="1">
      <x:c r="A92" s="2" t="str">
        <x:v>grid</x:v>
      </x:c>
      <x:c r="B92" s="2" t="n">
        <x:v>1</x:v>
      </x:c>
      <x:c r="C92" s="2" t="str">
        <x:v>收缩0.25</x:v>
      </x:c>
      <x:c r="D92" s="9" t="n">
        <x:v>0.9707602339181287</x:v>
      </x:c>
      <x:c r="E92" s="9" t="n">
        <x:v>0.9802546771403469</x:v>
      </x:c>
      <x:c r="F92" s="9" t="n">
        <x:v>0.9749535340192698</x:v>
      </x:c>
      <x:c r="G92" s="10" t="n">
        <x:f>D92-SUMIFS(D$5:D$304,$A$5:$A$304,$A92,$B$5:$B$304,$B92,$C$5:$C$304,"双分支固定")</x:f>
        <x:v>0</x:v>
      </x:c>
      <x:c r="H92" s="10" t="n">
        <x:f>E92-SUMIFS(E$5:E$304,$A$5:$A$304,$A92,$B$5:$B$304,$B92,$C$5:$C$304,"双分支固定")</x:f>
        <x:v>0.0030395595063663627</x:v>
      </x:c>
      <x:c r="I92" s="10" t="n">
        <x:f>F92-SUMIFS(F$5:F$304,$A$5:$A$304,$A92,$B$5:$B$304,$B92,$C$5:$C$304,"双分支固定")</x:f>
        <x:v>0.0034944607521320004</x:v>
      </x:c>
    </x:row>
    <x:row r="93" ht="22" customHeight="1">
      <x:c r="A93" s="2" t="str">
        <x:v>grid</x:v>
      </x:c>
      <x:c r="B93" s="2" t="n">
        <x:v>2</x:v>
      </x:c>
      <x:c r="C93" s="2" t="str">
        <x:v>双分支固定</x:v>
      </x:c>
      <x:c r="D93" s="9" t="n">
        <x:v>0.9690893901420217</x:v>
      </x:c>
      <x:c r="E93" s="9" t="n">
        <x:v>0.9789947486189612</x:v>
      </x:c>
      <x:c r="F93" s="9" t="n">
        <x:v>0.9722164266331238</x:v>
      </x:c>
      <x:c r="G93" s="10" t="n">
        <x:f>D93-SUMIFS(D$5:D$304,$A$5:$A$304,$A93,$B$5:$B$304,$B93,$C$5:$C$304,"双分支固定")</x:f>
        <x:v>0</x:v>
      </x:c>
      <x:c r="H93" s="10" t="n">
        <x:f>E93-SUMIFS(E$5:E$304,$A$5:$A$304,$A93,$B$5:$B$304,$B93,$C$5:$C$304,"双分支固定")</x:f>
        <x:v>0</x:v>
      </x:c>
      <x:c r="I93" s="10" t="n">
        <x:f>F93-SUMIFS(F$5:F$304,$A$5:$A$304,$A93,$B$5:$B$304,$B93,$C$5:$C$304,"双分支固定")</x:f>
        <x:v>0</x:v>
      </x:c>
    </x:row>
    <x:row r="94" ht="22" customHeight="1">
      <x:c r="A94" s="2" t="str">
        <x:v>grid</x:v>
      </x:c>
      <x:c r="B94" s="2" t="n">
        <x:v>2</x:v>
      </x:c>
      <x:c r="C94" s="2" t="str">
        <x:v>门控加收缩</x:v>
      </x:c>
      <x:c r="D94" s="9" t="n">
        <x:v>0.9690893901420217</x:v>
      </x:c>
      <x:c r="E94" s="9" t="n">
        <x:v>0.9789947486189612</x:v>
      </x:c>
      <x:c r="F94" s="9" t="n">
        <x:v>0.9722164266331238</x:v>
      </x:c>
      <x:c r="G94" s="10" t="n">
        <x:f>D94-SUMIFS(D$5:D$304,$A$5:$A$304,$A94,$B$5:$B$304,$B94,$C$5:$C$304,"双分支固定")</x:f>
        <x:v>0</x:v>
      </x:c>
      <x:c r="H94" s="10" t="n">
        <x:f>E94-SUMIFS(E$5:E$304,$A$5:$A$304,$A94,$B$5:$B$304,$B94,$C$5:$C$304,"双分支固定")</x:f>
        <x:v>0</x:v>
      </x:c>
      <x:c r="I94" s="10" t="n">
        <x:f>F94-SUMIFS(F$5:F$304,$A$5:$A$304,$A94,$B$5:$B$304,$B94,$C$5:$C$304,"双分支固定")</x:f>
        <x:v>0</x:v>
      </x:c>
    </x:row>
    <x:row r="95" ht="22" customHeight="1">
      <x:c r="A95" s="2" t="str">
        <x:v>grid</x:v>
      </x:c>
      <x:c r="B95" s="2" t="n">
        <x:v>2</x:v>
      </x:c>
      <x:c r="C95" s="2" t="str">
        <x:v>像素敏感性</x:v>
      </x:c>
      <x:c r="D95" s="9" t="n">
        <x:v>0.9690893901420217</x:v>
      </x:c>
      <x:c r="E95" s="9" t="n">
        <x:v>0.9889234131015892</x:v>
      </x:c>
      <x:c r="F95" s="9" t="n">
        <x:v>0.9848450080637061</x:v>
      </x:c>
      <x:c r="G95" s="10" t="n">
        <x:f>D95-SUMIFS(D$5:D$304,$A$5:$A$304,$A95,$B$5:$B$304,$B95,$C$5:$C$304,"双分支固定")</x:f>
        <x:v>0</x:v>
      </x:c>
      <x:c r="H95" s="10" t="n">
        <x:f>E95-SUMIFS(E$5:E$304,$A$5:$A$304,$A95,$B$5:$B$304,$B95,$C$5:$C$304,"双分支固定")</x:f>
        <x:v>0.009928664482627969</x:v>
      </x:c>
      <x:c r="I95" s="10" t="n">
        <x:f>F95-SUMIFS(F$5:F$304,$A$5:$A$304,$A95,$B$5:$B$304,$B95,$C$5:$C$304,"双分支固定")</x:f>
        <x:v>0.01262858143058232</x:v>
      </x:c>
    </x:row>
    <x:row r="96" ht="22" customHeight="1">
      <x:c r="A96" s="2" t="str">
        <x:v>grid</x:v>
      </x:c>
      <x:c r="B96" s="2" t="n">
        <x:v>2</x:v>
      </x:c>
      <x:c r="C96" s="2" t="str">
        <x:v>收缩0.25</x:v>
      </x:c>
      <x:c r="D96" s="9" t="n">
        <x:v>0.9690893901420217</x:v>
      </x:c>
      <x:c r="E96" s="9" t="n">
        <x:v>0.9834457560456193</x:v>
      </x:c>
      <x:c r="F96" s="9" t="n">
        <x:v>0.9777188691550371</x:v>
      </x:c>
      <x:c r="G96" s="10" t="n">
        <x:f>D96-SUMIFS(D$5:D$304,$A$5:$A$304,$A96,$B$5:$B$304,$B96,$C$5:$C$304,"双分支固定")</x:f>
        <x:v>0</x:v>
      </x:c>
      <x:c r="H96" s="10" t="n">
        <x:f>E96-SUMIFS(E$5:E$304,$A$5:$A$304,$A96,$B$5:$B$304,$B96,$C$5:$C$304,"双分支固定")</x:f>
        <x:v>0.00445100742665816</x:v>
      </x:c>
      <x:c r="I96" s="10" t="n">
        <x:f>F96-SUMIFS(F$5:F$304,$A$5:$A$304,$A96,$B$5:$B$304,$B96,$C$5:$C$304,"双分支固定")</x:f>
        <x:v>0.005502442521913342</x:v>
      </x:c>
    </x:row>
    <x:row r="97" ht="22" customHeight="1">
      <x:c r="A97" s="2" t="str">
        <x:v>grid</x:v>
      </x:c>
      <x:c r="B97" s="2" t="n">
        <x:v>3</x:v>
      </x:c>
      <x:c r="C97" s="2" t="str">
        <x:v>双分支固定</x:v>
      </x:c>
      <x:c r="D97" s="9" t="n">
        <x:v>0.9749373433583959</x:v>
      </x:c>
      <x:c r="E97" s="9" t="n">
        <x:v>0.978769811709942</x:v>
      </x:c>
      <x:c r="F97" s="9" t="n">
        <x:v>0.9724395482001529</x:v>
      </x:c>
      <x:c r="G97" s="10" t="n">
        <x:f>D97-SUMIFS(D$5:D$304,$A$5:$A$304,$A97,$B$5:$B$304,$B97,$C$5:$C$304,"双分支固定")</x:f>
        <x:v>0</x:v>
      </x:c>
      <x:c r="H97" s="10" t="n">
        <x:f>E97-SUMIFS(E$5:E$304,$A$5:$A$304,$A97,$B$5:$B$304,$B97,$C$5:$C$304,"双分支固定")</x:f>
        <x:v>0</x:v>
      </x:c>
      <x:c r="I97" s="10" t="n">
        <x:f>F97-SUMIFS(F$5:F$304,$A$5:$A$304,$A97,$B$5:$B$304,$B97,$C$5:$C$304,"双分支固定")</x:f>
        <x:v>0</x:v>
      </x:c>
    </x:row>
    <x:row r="98" ht="22" customHeight="1">
      <x:c r="A98" s="2" t="str">
        <x:v>grid</x:v>
      </x:c>
      <x:c r="B98" s="2" t="n">
        <x:v>3</x:v>
      </x:c>
      <x:c r="C98" s="2" t="str">
        <x:v>门控加收缩</x:v>
      </x:c>
      <x:c r="D98" s="9" t="n">
        <x:v>0.9749373433583959</x:v>
      </x:c>
      <x:c r="E98" s="9" t="n">
        <x:v>0.981553010175125</x:v>
      </x:c>
      <x:c r="F98" s="9" t="n">
        <x:v>0.9756463521975094</x:v>
      </x:c>
      <x:c r="G98" s="10" t="n">
        <x:f>D98-SUMIFS(D$5:D$304,$A$5:$A$304,$A98,$B$5:$B$304,$B98,$C$5:$C$304,"双分支固定")</x:f>
        <x:v>0</x:v>
      </x:c>
      <x:c r="H98" s="10" t="n">
        <x:f>E98-SUMIFS(E$5:E$304,$A$5:$A$304,$A98,$B$5:$B$304,$B98,$C$5:$C$304,"双分支固定")</x:f>
        <x:v>0.0027831984651829345</x:v>
      </x:c>
      <x:c r="I98" s="10" t="n">
        <x:f>F98-SUMIFS(F$5:F$304,$A$5:$A$304,$A98,$B$5:$B$304,$B98,$C$5:$C$304,"双分支固定")</x:f>
        <x:v>0.003206803997356511</x:v>
      </x:c>
    </x:row>
    <x:row r="99" ht="22" customHeight="1">
      <x:c r="A99" s="2" t="str">
        <x:v>grid</x:v>
      </x:c>
      <x:c r="B99" s="2" t="n">
        <x:v>3</x:v>
      </x:c>
      <x:c r="C99" s="2" t="str">
        <x:v>像素敏感性</x:v>
      </x:c>
      <x:c r="D99" s="9" t="n">
        <x:v>0.9749373433583959</x:v>
      </x:c>
      <x:c r="E99" s="9" t="n">
        <x:v>0.9862529365600864</x:v>
      </x:c>
      <x:c r="F99" s="9" t="n">
        <x:v>0.981373800723722</x:v>
      </x:c>
      <x:c r="G99" s="10" t="n">
        <x:f>D99-SUMIFS(D$5:D$304,$A$5:$A$304,$A99,$B$5:$B$304,$B99,$C$5:$C$304,"双分支固定")</x:f>
        <x:v>0</x:v>
      </x:c>
      <x:c r="H99" s="10" t="n">
        <x:f>E99-SUMIFS(E$5:E$304,$A$5:$A$304,$A99,$B$5:$B$304,$B99,$C$5:$C$304,"双分支固定")</x:f>
        <x:v>0.0074831248501443515</x:v>
      </x:c>
      <x:c r="I99" s="10" t="n">
        <x:f>F99-SUMIFS(F$5:F$304,$A$5:$A$304,$A99,$B$5:$B$304,$B99,$C$5:$C$304,"双分支固定")</x:f>
        <x:v>0.008934252523569164</x:v>
      </x:c>
    </x:row>
    <x:row r="100" ht="22" customHeight="1">
      <x:c r="A100" s="2" t="str">
        <x:v>grid</x:v>
      </x:c>
      <x:c r="B100" s="2" t="n">
        <x:v>3</x:v>
      </x:c>
      <x:c r="C100" s="2" t="str">
        <x:v>收缩0.25</x:v>
      </x:c>
      <x:c r="D100" s="9" t="n">
        <x:v>0.9749373433583959</x:v>
      </x:c>
      <x:c r="E100" s="9" t="n">
        <x:v>0.981553010175125</x:v>
      </x:c>
      <x:c r="F100" s="9" t="n">
        <x:v>0.9756463521975094</x:v>
      </x:c>
      <x:c r="G100" s="10" t="n">
        <x:f>D100-SUMIFS(D$5:D$304,$A$5:$A$304,$A100,$B$5:$B$304,$B100,$C$5:$C$304,"双分支固定")</x:f>
        <x:v>0</x:v>
      </x:c>
      <x:c r="H100" s="10" t="n">
        <x:f>E100-SUMIFS(E$5:E$304,$A$5:$A$304,$A100,$B$5:$B$304,$B100,$C$5:$C$304,"双分支固定")</x:f>
        <x:v>0.0027831984651829345</x:v>
      </x:c>
      <x:c r="I100" s="10" t="n">
        <x:f>F100-SUMIFS(F$5:F$304,$A$5:$A$304,$A100,$B$5:$B$304,$B100,$C$5:$C$304,"双分支固定")</x:f>
        <x:v>0.003206803997356511</x:v>
      </x:c>
    </x:row>
    <x:row r="101" ht="22" customHeight="1">
      <x:c r="A101" s="2" t="str">
        <x:v>grid</x:v>
      </x:c>
      <x:c r="B101" s="2" t="n">
        <x:v>4</x:v>
      </x:c>
      <x:c r="C101" s="2" t="str">
        <x:v>双分支固定</x:v>
      </x:c>
      <x:c r="D101" s="9" t="n">
        <x:v>0.9832915622389307</x:v>
      </x:c>
      <x:c r="E101" s="9" t="n">
        <x:v>0.9783898976039128</x:v>
      </x:c>
      <x:c r="F101" s="9" t="n">
        <x:v>0.9722366744946487</x:v>
      </x:c>
      <x:c r="G101" s="10" t="n">
        <x:f>D101-SUMIFS(D$5:D$304,$A$5:$A$304,$A101,$B$5:$B$304,$B101,$C$5:$C$304,"双分支固定")</x:f>
        <x:v>0</x:v>
      </x:c>
      <x:c r="H101" s="10" t="n">
        <x:f>E101-SUMIFS(E$5:E$304,$A$5:$A$304,$A101,$B$5:$B$304,$B101,$C$5:$C$304,"双分支固定")</x:f>
        <x:v>0</x:v>
      </x:c>
      <x:c r="I101" s="10" t="n">
        <x:f>F101-SUMIFS(F$5:F$304,$A$5:$A$304,$A101,$B$5:$B$304,$B101,$C$5:$C$304,"双分支固定")</x:f>
        <x:v>0</x:v>
      </x:c>
    </x:row>
    <x:row r="102" ht="22" customHeight="1">
      <x:c r="A102" s="2" t="str">
        <x:v>grid</x:v>
      </x:c>
      <x:c r="B102" s="2" t="n">
        <x:v>4</x:v>
      </x:c>
      <x:c r="C102" s="2" t="str">
        <x:v>门控加收缩</x:v>
      </x:c>
      <x:c r="D102" s="9" t="n">
        <x:v>0.9832915622389307</x:v>
      </x:c>
      <x:c r="E102" s="9" t="n">
        <x:v>0.9783898976039128</x:v>
      </x:c>
      <x:c r="F102" s="9" t="n">
        <x:v>0.9722366744946487</x:v>
      </x:c>
      <x:c r="G102" s="10" t="n">
        <x:f>D102-SUMIFS(D$5:D$304,$A$5:$A$304,$A102,$B$5:$B$304,$B102,$C$5:$C$304,"双分支固定")</x:f>
        <x:v>0</x:v>
      </x:c>
      <x:c r="H102" s="10" t="n">
        <x:f>E102-SUMIFS(E$5:E$304,$A$5:$A$304,$A102,$B$5:$B$304,$B102,$C$5:$C$304,"双分支固定")</x:f>
        <x:v>0</x:v>
      </x:c>
      <x:c r="I102" s="10" t="n">
        <x:f>F102-SUMIFS(F$5:F$304,$A$5:$A$304,$A102,$B$5:$B$304,$B102,$C$5:$C$304,"双分支固定")</x:f>
        <x:v>0</x:v>
      </x:c>
    </x:row>
    <x:row r="103" ht="22" customHeight="1">
      <x:c r="A103" s="2" t="str">
        <x:v>grid</x:v>
      </x:c>
      <x:c r="B103" s="2" t="n">
        <x:v>4</x:v>
      </x:c>
      <x:c r="C103" s="2" t="str">
        <x:v>像素敏感性</x:v>
      </x:c>
      <x:c r="D103" s="9" t="n">
        <x:v>0.9832915622389307</x:v>
      </x:c>
      <x:c r="E103" s="9" t="n">
        <x:v>0.9885626536403128</x:v>
      </x:c>
      <x:c r="F103" s="9" t="n">
        <x:v>0.9843978397864975</x:v>
      </x:c>
      <x:c r="G103" s="10" t="n">
        <x:f>D103-SUMIFS(D$5:D$304,$A$5:$A$304,$A103,$B$5:$B$304,$B103,$C$5:$C$304,"双分支固定")</x:f>
        <x:v>0</x:v>
      </x:c>
      <x:c r="H103" s="10" t="n">
        <x:f>E103-SUMIFS(E$5:E$304,$A$5:$A$304,$A103,$B$5:$B$304,$B103,$C$5:$C$304,"双分支固定")</x:f>
        <x:v>0.0101727560364</x:v>
      </x:c>
      <x:c r="I103" s="10" t="n">
        <x:f>F103-SUMIFS(F$5:F$304,$A$5:$A$304,$A103,$B$5:$B$304,$B103,$C$5:$C$304,"双分支固定")</x:f>
        <x:v>0.012161165291848852</x:v>
      </x:c>
    </x:row>
    <x:row r="104" ht="22" customHeight="1">
      <x:c r="A104" s="2" t="str">
        <x:v>grid</x:v>
      </x:c>
      <x:c r="B104" s="2" t="n">
        <x:v>4</x:v>
      </x:c>
      <x:c r="C104" s="2" t="str">
        <x:v>收缩0.25</x:v>
      </x:c>
      <x:c r="D104" s="9" t="n">
        <x:v>0.9832915622389307</x:v>
      </x:c>
      <x:c r="E104" s="9" t="n">
        <x:v>0.983001074767858</x:v>
      </x:c>
      <x:c r="F104" s="9" t="n">
        <x:v>0.9775284144829816</x:v>
      </x:c>
      <x:c r="G104" s="10" t="n">
        <x:f>D104-SUMIFS(D$5:D$304,$A$5:$A$304,$A104,$B$5:$B$304,$B104,$C$5:$C$304,"双分支固定")</x:f>
        <x:v>0</x:v>
      </x:c>
      <x:c r="H104" s="10" t="n">
        <x:f>E104-SUMIFS(E$5:E$304,$A$5:$A$304,$A104,$B$5:$B$304,$B104,$C$5:$C$304,"双分支固定")</x:f>
        <x:v>0.004611177163945213</x:v>
      </x:c>
      <x:c r="I104" s="10" t="n">
        <x:f>F104-SUMIFS(F$5:F$304,$A$5:$A$304,$A104,$B$5:$B$304,$B104,$C$5:$C$304,"双分支固定")</x:f>
        <x:v>0.0052917399883328775</x:v>
      </x:c>
    </x:row>
    <x:row r="105" ht="22" customHeight="1">
      <x:c r="A105" s="2" t="str">
        <x:v>hazelnut</x:v>
      </x:c>
      <x:c r="B105" s="2" t="n">
        <x:v>0</x:v>
      </x:c>
      <x:c r="C105" s="2" t="str">
        <x:v>双分支固定</x:v>
      </x:c>
      <x:c r="D105" s="9" t="n">
        <x:v>1</x:v>
      </x:c>
      <x:c r="E105" s="9" t="n">
        <x:v>0.9857215746510523</x:v>
      </x:c>
      <x:c r="F105" s="9" t="n">
        <x:v>0.9774414543336487</x:v>
      </x:c>
      <x:c r="G105" s="10" t="n">
        <x:f>D105-SUMIFS(D$5:D$304,$A$5:$A$304,$A105,$B$5:$B$304,$B105,$C$5:$C$304,"双分支固定")</x:f>
        <x:v>0</x:v>
      </x:c>
      <x:c r="H105" s="10" t="n">
        <x:f>E105-SUMIFS(E$5:E$304,$A$5:$A$304,$A105,$B$5:$B$304,$B105,$C$5:$C$304,"双分支固定")</x:f>
        <x:v>0</x:v>
      </x:c>
      <x:c r="I105" s="10" t="n">
        <x:f>F105-SUMIFS(F$5:F$304,$A$5:$A$304,$A105,$B$5:$B$304,$B105,$C$5:$C$304,"双分支固定")</x:f>
        <x:v>0</x:v>
      </x:c>
    </x:row>
    <x:row r="106" ht="22" customHeight="1">
      <x:c r="A106" s="2" t="str">
        <x:v>hazelnut</x:v>
      </x:c>
      <x:c r="B106" s="2" t="n">
        <x:v>0</x:v>
      </x:c>
      <x:c r="C106" s="2" t="str">
        <x:v>门控加收缩</x:v>
      </x:c>
      <x:c r="D106" s="9" t="n">
        <x:v>1</x:v>
      </x:c>
      <x:c r="E106" s="9" t="n">
        <x:v>0.9859762456326941</x:v>
      </x:c>
      <x:c r="F106" s="9" t="n">
        <x:v>0.9778324372164291</x:v>
      </x:c>
      <x:c r="G106" s="10" t="n">
        <x:f>D106-SUMIFS(D$5:D$304,$A$5:$A$304,$A106,$B$5:$B$304,$B106,$C$5:$C$304,"双分支固定")</x:f>
        <x:v>0</x:v>
      </x:c>
      <x:c r="H106" s="10" t="n">
        <x:f>E106-SUMIFS(E$5:E$304,$A$5:$A$304,$A106,$B$5:$B$304,$B106,$C$5:$C$304,"双分支固定")</x:f>
        <x:v>0.0002546709816418913</x:v>
      </x:c>
      <x:c r="I106" s="10" t="n">
        <x:f>F106-SUMIFS(F$5:F$304,$A$5:$A$304,$A106,$B$5:$B$304,$B106,$C$5:$C$304,"双分支固定")</x:f>
        <x:v>0.0003909828827803885</x:v>
      </x:c>
    </x:row>
    <x:row r="107" ht="22" customHeight="1">
      <x:c r="A107" s="2" t="str">
        <x:v>hazelnut</x:v>
      </x:c>
      <x:c r="B107" s="2" t="n">
        <x:v>0</x:v>
      </x:c>
      <x:c r="C107" s="2" t="str">
        <x:v>像素敏感性</x:v>
      </x:c>
      <x:c r="D107" s="9" t="n">
        <x:v>1</x:v>
      </x:c>
      <x:c r="E107" s="9" t="n">
        <x:v>0.9864402893464552</x:v>
      </x:c>
      <x:c r="F107" s="9" t="n">
        <x:v>0.9785497707826292</x:v>
      </x:c>
      <x:c r="G107" s="10" t="n">
        <x:f>D107-SUMIFS(D$5:D$304,$A$5:$A$304,$A107,$B$5:$B$304,$B107,$C$5:$C$304,"双分支固定")</x:f>
        <x:v>0</x:v>
      </x:c>
      <x:c r="H107" s="10" t="n">
        <x:f>E107-SUMIFS(E$5:E$304,$A$5:$A$304,$A107,$B$5:$B$304,$B107,$C$5:$C$304,"双分支固定")</x:f>
        <x:v>0.0007187146954029666</x:v>
      </x:c>
      <x:c r="I107" s="10" t="n">
        <x:f>F107-SUMIFS(F$5:F$304,$A$5:$A$304,$A107,$B$5:$B$304,$B107,$C$5:$C$304,"双分支固定")</x:f>
        <x:v>0.001108316448980462</x:v>
      </x:c>
    </x:row>
    <x:row r="108" ht="22" customHeight="1">
      <x:c r="A108" s="2" t="str">
        <x:v>hazelnut</x:v>
      </x:c>
      <x:c r="B108" s="2" t="n">
        <x:v>0</x:v>
      </x:c>
      <x:c r="C108" s="2" t="str">
        <x:v>收缩0.25</x:v>
      </x:c>
      <x:c r="D108" s="9" t="n">
        <x:v>1</x:v>
      </x:c>
      <x:c r="E108" s="9" t="n">
        <x:v>0.9859762456326941</x:v>
      </x:c>
      <x:c r="F108" s="9" t="n">
        <x:v>0.9778324372164291</x:v>
      </x:c>
      <x:c r="G108" s="10" t="n">
        <x:f>D108-SUMIFS(D$5:D$304,$A$5:$A$304,$A108,$B$5:$B$304,$B108,$C$5:$C$304,"双分支固定")</x:f>
        <x:v>0</x:v>
      </x:c>
      <x:c r="H108" s="10" t="n">
        <x:f>E108-SUMIFS(E$5:E$304,$A$5:$A$304,$A108,$B$5:$B$304,$B108,$C$5:$C$304,"双分支固定")</x:f>
        <x:v>0.0002546709816418913</x:v>
      </x:c>
      <x:c r="I108" s="10" t="n">
        <x:f>F108-SUMIFS(F$5:F$304,$A$5:$A$304,$A108,$B$5:$B$304,$B108,$C$5:$C$304,"双分支固定")</x:f>
        <x:v>0.0003909828827803885</x:v>
      </x:c>
    </x:row>
    <x:row r="109" ht="22" customHeight="1">
      <x:c r="A109" s="2" t="str">
        <x:v>hazelnut</x:v>
      </x:c>
      <x:c r="B109" s="2" t="n">
        <x:v>1</x:v>
      </x:c>
      <x:c r="C109" s="2" t="str">
        <x:v>双分支固定</x:v>
      </x:c>
      <x:c r="D109" s="9" t="n">
        <x:v>1</x:v>
      </x:c>
      <x:c r="E109" s="9" t="n">
        <x:v>0.985568055642808</x:v>
      </x:c>
      <x:c r="F109" s="9" t="n">
        <x:v>0.977144476444471</x:v>
      </x:c>
      <x:c r="G109" s="10" t="n">
        <x:f>D109-SUMIFS(D$5:D$304,$A$5:$A$304,$A109,$B$5:$B$304,$B109,$C$5:$C$304,"双分支固定")</x:f>
        <x:v>0</x:v>
      </x:c>
      <x:c r="H109" s="10" t="n">
        <x:f>E109-SUMIFS(E$5:E$304,$A$5:$A$304,$A109,$B$5:$B$304,$B109,$C$5:$C$304,"双分支固定")</x:f>
        <x:v>0</x:v>
      </x:c>
      <x:c r="I109" s="10" t="n">
        <x:f>F109-SUMIFS(F$5:F$304,$A$5:$A$304,$A109,$B$5:$B$304,$B109,$C$5:$C$304,"双分支固定")</x:f>
        <x:v>0</x:v>
      </x:c>
    </x:row>
    <x:row r="110" ht="22" customHeight="1">
      <x:c r="A110" s="2" t="str">
        <x:v>hazelnut</x:v>
      </x:c>
      <x:c r="B110" s="2" t="n">
        <x:v>1</x:v>
      </x:c>
      <x:c r="C110" s="2" t="str">
        <x:v>门控加收缩</x:v>
      </x:c>
      <x:c r="D110" s="9" t="n">
        <x:v>1</x:v>
      </x:c>
      <x:c r="E110" s="9" t="n">
        <x:v>0.9858910386411193</x:v>
      </x:c>
      <x:c r="F110" s="9" t="n">
        <x:v>0.9776523544721227</x:v>
      </x:c>
      <x:c r="G110" s="10" t="n">
        <x:f>D110-SUMIFS(D$5:D$304,$A$5:$A$304,$A110,$B$5:$B$304,$B110,$C$5:$C$304,"双分支固定")</x:f>
        <x:v>0</x:v>
      </x:c>
      <x:c r="H110" s="10" t="n">
        <x:f>E110-SUMIFS(E$5:E$304,$A$5:$A$304,$A110,$B$5:$B$304,$B110,$C$5:$C$304,"双分支固定")</x:f>
        <x:v>0.00032298299831123867</x:v>
      </x:c>
      <x:c r="I110" s="10" t="n">
        <x:f>F110-SUMIFS(F$5:F$304,$A$5:$A$304,$A110,$B$5:$B$304,$B110,$C$5:$C$304,"双分支固定")</x:f>
        <x:v>0.0005078780276517314</x:v>
      </x:c>
    </x:row>
    <x:row r="111" ht="22" customHeight="1">
      <x:c r="A111" s="2" t="str">
        <x:v>hazelnut</x:v>
      </x:c>
      <x:c r="B111" s="2" t="n">
        <x:v>1</x:v>
      </x:c>
      <x:c r="C111" s="2" t="str">
        <x:v>像素敏感性</x:v>
      </x:c>
      <x:c r="D111" s="9" t="n">
        <x:v>1</x:v>
      </x:c>
      <x:c r="E111" s="9" t="n">
        <x:v>0.9862649303516855</x:v>
      </x:c>
      <x:c r="F111" s="9" t="n">
        <x:v>0.9782737051346594</x:v>
      </x:c>
      <x:c r="G111" s="10" t="n">
        <x:f>D111-SUMIFS(D$5:D$304,$A$5:$A$304,$A111,$B$5:$B$304,$B111,$C$5:$C$304,"双分支固定")</x:f>
        <x:v>0</x:v>
      </x:c>
      <x:c r="H111" s="10" t="n">
        <x:f>E111-SUMIFS(E$5:E$304,$A$5:$A$304,$A111,$B$5:$B$304,$B111,$C$5:$C$304,"双分支固定")</x:f>
        <x:v>0.0006968747088774707</x:v>
      </x:c>
      <x:c r="I111" s="10" t="n">
        <x:f>F111-SUMIFS(F$5:F$304,$A$5:$A$304,$A111,$B$5:$B$304,$B111,$C$5:$C$304,"双分支固定")</x:f>
        <x:v>0.0011292286901883886</x:v>
      </x:c>
    </x:row>
    <x:row r="112" ht="22" customHeight="1">
      <x:c r="A112" s="2" t="str">
        <x:v>hazelnut</x:v>
      </x:c>
      <x:c r="B112" s="2" t="n">
        <x:v>1</x:v>
      </x:c>
      <x:c r="C112" s="2" t="str">
        <x:v>收缩0.25</x:v>
      </x:c>
      <x:c r="D112" s="9" t="n">
        <x:v>1</x:v>
      </x:c>
      <x:c r="E112" s="9" t="n">
        <x:v>0.9858910386411193</x:v>
      </x:c>
      <x:c r="F112" s="9" t="n">
        <x:v>0.9776523544721227</x:v>
      </x:c>
      <x:c r="G112" s="10" t="n">
        <x:f>D112-SUMIFS(D$5:D$304,$A$5:$A$304,$A112,$B$5:$B$304,$B112,$C$5:$C$304,"双分支固定")</x:f>
        <x:v>0</x:v>
      </x:c>
      <x:c r="H112" s="10" t="n">
        <x:f>E112-SUMIFS(E$5:E$304,$A$5:$A$304,$A112,$B$5:$B$304,$B112,$C$5:$C$304,"双分支固定")</x:f>
        <x:v>0.00032298299831123867</x:v>
      </x:c>
      <x:c r="I112" s="10" t="n">
        <x:f>F112-SUMIFS(F$5:F$304,$A$5:$A$304,$A112,$B$5:$B$304,$B112,$C$5:$C$304,"双分支固定")</x:f>
        <x:v>0.0005078780276517314</x:v>
      </x:c>
    </x:row>
    <x:row r="113" ht="22" customHeight="1">
      <x:c r="A113" s="2" t="str">
        <x:v>hazelnut</x:v>
      </x:c>
      <x:c r="B113" s="2" t="n">
        <x:v>2</x:v>
      </x:c>
      <x:c r="C113" s="2" t="str">
        <x:v>双分支固定</x:v>
      </x:c>
      <x:c r="D113" s="9" t="n">
        <x:v>1</x:v>
      </x:c>
      <x:c r="E113" s="9" t="n">
        <x:v>0.9846561622798096</x:v>
      </x:c>
      <x:c r="F113" s="9" t="n">
        <x:v>0.975813226029116</x:v>
      </x:c>
      <x:c r="G113" s="10" t="n">
        <x:f>D113-SUMIFS(D$5:D$304,$A$5:$A$304,$A113,$B$5:$B$304,$B113,$C$5:$C$304,"双分支固定")</x:f>
        <x:v>0</x:v>
      </x:c>
      <x:c r="H113" s="10" t="n">
        <x:f>E113-SUMIFS(E$5:E$304,$A$5:$A$304,$A113,$B$5:$B$304,$B113,$C$5:$C$304,"双分支固定")</x:f>
        <x:v>0</x:v>
      </x:c>
      <x:c r="I113" s="10" t="n">
        <x:f>F113-SUMIFS(F$5:F$304,$A$5:$A$304,$A113,$B$5:$B$304,$B113,$C$5:$C$304,"双分支固定")</x:f>
        <x:v>0</x:v>
      </x:c>
    </x:row>
    <x:row r="114" ht="22" customHeight="1">
      <x:c r="A114" s="2" t="str">
        <x:v>hazelnut</x:v>
      </x:c>
      <x:c r="B114" s="2" t="n">
        <x:v>2</x:v>
      </x:c>
      <x:c r="C114" s="2" t="str">
        <x:v>门控加收缩</x:v>
      </x:c>
      <x:c r="D114" s="9" t="n">
        <x:v>1</x:v>
      </x:c>
      <x:c r="E114" s="9" t="n">
        <x:v>0.9849755225323742</x:v>
      </x:c>
      <x:c r="F114" s="9" t="n">
        <x:v>0.9763042945399273</x:v>
      </x:c>
      <x:c r="G114" s="10" t="n">
        <x:f>D114-SUMIFS(D$5:D$304,$A$5:$A$304,$A114,$B$5:$B$304,$B114,$C$5:$C$304,"双分支固定")</x:f>
        <x:v>0</x:v>
      </x:c>
      <x:c r="H114" s="10" t="n">
        <x:f>E114-SUMIFS(E$5:E$304,$A$5:$A$304,$A114,$B$5:$B$304,$B114,$C$5:$C$304,"双分支固定")</x:f>
        <x:v>0.00031936025256462663</x:v>
      </x:c>
      <x:c r="I114" s="10" t="n">
        <x:f>F114-SUMIFS(F$5:F$304,$A$5:$A$304,$A114,$B$5:$B$304,$B114,$C$5:$C$304,"双分支固定")</x:f>
        <x:v>0.0004910685108112656</x:v>
      </x:c>
    </x:row>
    <x:row r="115" ht="22" customHeight="1">
      <x:c r="A115" s="2" t="str">
        <x:v>hazelnut</x:v>
      </x:c>
      <x:c r="B115" s="2" t="n">
        <x:v>2</x:v>
      </x:c>
      <x:c r="C115" s="2" t="str">
        <x:v>像素敏感性</x:v>
      </x:c>
      <x:c r="D115" s="9" t="n">
        <x:v>1</x:v>
      </x:c>
      <x:c r="E115" s="9" t="n">
        <x:v>0.985645530734923</x:v>
      </x:c>
      <x:c r="F115" s="9" t="n">
        <x:v>0.9773473094787894</x:v>
      </x:c>
      <x:c r="G115" s="10" t="n">
        <x:f>D115-SUMIFS(D$5:D$304,$A$5:$A$304,$A115,$B$5:$B$304,$B115,$C$5:$C$304,"双分支固定")</x:f>
        <x:v>0</x:v>
      </x:c>
      <x:c r="H115" s="10" t="n">
        <x:f>E115-SUMIFS(E$5:E$304,$A$5:$A$304,$A115,$B$5:$B$304,$B115,$C$5:$C$304,"双分支固定")</x:f>
        <x:v>0.0009893684551134374</x:v>
      </x:c>
      <x:c r="I115" s="10" t="n">
        <x:f>F115-SUMIFS(F$5:F$304,$A$5:$A$304,$A115,$B$5:$B$304,$B115,$C$5:$C$304,"双分支固定")</x:f>
        <x:v>0.001534083449673429</x:v>
      </x:c>
    </x:row>
    <x:row r="116" ht="22" customHeight="1">
      <x:c r="A116" s="2" t="str">
        <x:v>hazelnut</x:v>
      </x:c>
      <x:c r="B116" s="2" t="n">
        <x:v>2</x:v>
      </x:c>
      <x:c r="C116" s="2" t="str">
        <x:v>收缩0.25</x:v>
      </x:c>
      <x:c r="D116" s="9" t="n">
        <x:v>1</x:v>
      </x:c>
      <x:c r="E116" s="9" t="n">
        <x:v>0.9849755225323742</x:v>
      </x:c>
      <x:c r="F116" s="9" t="n">
        <x:v>0.9763042945399273</x:v>
      </x:c>
      <x:c r="G116" s="10" t="n">
        <x:f>D116-SUMIFS(D$5:D$304,$A$5:$A$304,$A116,$B$5:$B$304,$B116,$C$5:$C$304,"双分支固定")</x:f>
        <x:v>0</x:v>
      </x:c>
      <x:c r="H116" s="10" t="n">
        <x:f>E116-SUMIFS(E$5:E$304,$A$5:$A$304,$A116,$B$5:$B$304,$B116,$C$5:$C$304,"双分支固定")</x:f>
        <x:v>0.00031936025256462663</x:v>
      </x:c>
      <x:c r="I116" s="10" t="n">
        <x:f>F116-SUMIFS(F$5:F$304,$A$5:$A$304,$A116,$B$5:$B$304,$B116,$C$5:$C$304,"双分支固定")</x:f>
        <x:v>0.0004910685108112656</x:v>
      </x:c>
    </x:row>
    <x:row r="117" ht="22" customHeight="1">
      <x:c r="A117" s="2" t="str">
        <x:v>hazelnut</x:v>
      </x:c>
      <x:c r="B117" s="2" t="n">
        <x:v>3</x:v>
      </x:c>
      <x:c r="C117" s="2" t="str">
        <x:v>双分支固定</x:v>
      </x:c>
      <x:c r="D117" s="9" t="n">
        <x:v>1</x:v>
      </x:c>
      <x:c r="E117" s="9" t="n">
        <x:v>0.9853319854215254</x:v>
      </x:c>
      <x:c r="F117" s="9" t="n">
        <x:v>0.9769196942395307</x:v>
      </x:c>
      <x:c r="G117" s="10" t="n">
        <x:f>D117-SUMIFS(D$5:D$304,$A$5:$A$304,$A117,$B$5:$B$304,$B117,$C$5:$C$304,"双分支固定")</x:f>
        <x:v>0</x:v>
      </x:c>
      <x:c r="H117" s="10" t="n">
        <x:f>E117-SUMIFS(E$5:E$304,$A$5:$A$304,$A117,$B$5:$B$304,$B117,$C$5:$C$304,"双分支固定")</x:f>
        <x:v>0</x:v>
      </x:c>
      <x:c r="I117" s="10" t="n">
        <x:f>F117-SUMIFS(F$5:F$304,$A$5:$A$304,$A117,$B$5:$B$304,$B117,$C$5:$C$304,"双分支固定")</x:f>
        <x:v>0</x:v>
      </x:c>
    </x:row>
    <x:row r="118" ht="22" customHeight="1">
      <x:c r="A118" s="2" t="str">
        <x:v>hazelnut</x:v>
      </x:c>
      <x:c r="B118" s="2" t="n">
        <x:v>3</x:v>
      </x:c>
      <x:c r="C118" s="2" t="str">
        <x:v>门控加收缩</x:v>
      </x:c>
      <x:c r="D118" s="9" t="n">
        <x:v>1</x:v>
      </x:c>
      <x:c r="E118" s="9" t="n">
        <x:v>0.9857732772351525</x:v>
      </x:c>
      <x:c r="F118" s="9" t="n">
        <x:v>0.9775972880212741</x:v>
      </x:c>
      <x:c r="G118" s="10" t="n">
        <x:f>D118-SUMIFS(D$5:D$304,$A$5:$A$304,$A118,$B$5:$B$304,$B118,$C$5:$C$304,"双分支固定")</x:f>
        <x:v>0</x:v>
      </x:c>
      <x:c r="H118" s="10" t="n">
        <x:f>E118-SUMIFS(E$5:E$304,$A$5:$A$304,$A118,$B$5:$B$304,$B118,$C$5:$C$304,"双分支固定")</x:f>
        <x:v>0.00044129181362706493</x:v>
      </x:c>
      <x:c r="I118" s="10" t="n">
        <x:f>F118-SUMIFS(F$5:F$304,$A$5:$A$304,$A118,$B$5:$B$304,$B118,$C$5:$C$304,"双分支固定")</x:f>
        <x:v>0.0006775937817433686</x:v>
      </x:c>
    </x:row>
    <x:row r="119" ht="22" customHeight="1">
      <x:c r="A119" s="2" t="str">
        <x:v>hazelnut</x:v>
      </x:c>
      <x:c r="B119" s="2" t="n">
        <x:v>3</x:v>
      </x:c>
      <x:c r="C119" s="2" t="str">
        <x:v>像素敏感性</x:v>
      </x:c>
      <x:c r="D119" s="9" t="n">
        <x:v>1</x:v>
      </x:c>
      <x:c r="E119" s="9" t="n">
        <x:v>0.9863814117666498</x:v>
      </x:c>
      <x:c r="F119" s="9" t="n">
        <x:v>0.9785495113618028</x:v>
      </x:c>
      <x:c r="G119" s="10" t="n">
        <x:f>D119-SUMIFS(D$5:D$304,$A$5:$A$304,$A119,$B$5:$B$304,$B119,$C$5:$C$304,"双分支固定")</x:f>
        <x:v>0</x:v>
      </x:c>
      <x:c r="H119" s="10" t="n">
        <x:f>E119-SUMIFS(E$5:E$304,$A$5:$A$304,$A119,$B$5:$B$304,$B119,$C$5:$C$304,"双分支固定")</x:f>
        <x:v>0.0010494263451243935</x:v>
      </x:c>
      <x:c r="I119" s="10" t="n">
        <x:f>F119-SUMIFS(F$5:F$304,$A$5:$A$304,$A119,$B$5:$B$304,$B119,$C$5:$C$304,"双分支固定")</x:f>
        <x:v>0.0016298171222720592</x:v>
      </x:c>
    </x:row>
    <x:row r="120" ht="22" customHeight="1">
      <x:c r="A120" s="2" t="str">
        <x:v>hazelnut</x:v>
      </x:c>
      <x:c r="B120" s="2" t="n">
        <x:v>3</x:v>
      </x:c>
      <x:c r="C120" s="2" t="str">
        <x:v>收缩0.25</x:v>
      </x:c>
      <x:c r="D120" s="9" t="n">
        <x:v>1</x:v>
      </x:c>
      <x:c r="E120" s="9" t="n">
        <x:v>0.9857732772351525</x:v>
      </x:c>
      <x:c r="F120" s="9" t="n">
        <x:v>0.9775972880212741</x:v>
      </x:c>
      <x:c r="G120" s="10" t="n">
        <x:f>D120-SUMIFS(D$5:D$304,$A$5:$A$304,$A120,$B$5:$B$304,$B120,$C$5:$C$304,"双分支固定")</x:f>
        <x:v>0</x:v>
      </x:c>
      <x:c r="H120" s="10" t="n">
        <x:f>E120-SUMIFS(E$5:E$304,$A$5:$A$304,$A120,$B$5:$B$304,$B120,$C$5:$C$304,"双分支固定")</x:f>
        <x:v>0.00044129181362706493</x:v>
      </x:c>
      <x:c r="I120" s="10" t="n">
        <x:f>F120-SUMIFS(F$5:F$304,$A$5:$A$304,$A120,$B$5:$B$304,$B120,$C$5:$C$304,"双分支固定")</x:f>
        <x:v>0.0006775937817433686</x:v>
      </x:c>
    </x:row>
    <x:row r="121" ht="22" customHeight="1">
      <x:c r="A121" s="2" t="str">
        <x:v>hazelnut</x:v>
      </x:c>
      <x:c r="B121" s="2" t="n">
        <x:v>4</x:v>
      </x:c>
      <x:c r="C121" s="2" t="str">
        <x:v>双分支固定</x:v>
      </x:c>
      <x:c r="D121" s="9" t="n">
        <x:v>1</x:v>
      </x:c>
      <x:c r="E121" s="9" t="n">
        <x:v>0.9854493162851403</x:v>
      </x:c>
      <x:c r="F121" s="9" t="n">
        <x:v>0.9771347728028252</x:v>
      </x:c>
      <x:c r="G121" s="10" t="n">
        <x:f>D121-SUMIFS(D$5:D$304,$A$5:$A$304,$A121,$B$5:$B$304,$B121,$C$5:$C$304,"双分支固定")</x:f>
        <x:v>0</x:v>
      </x:c>
      <x:c r="H121" s="10" t="n">
        <x:f>E121-SUMIFS(E$5:E$304,$A$5:$A$304,$A121,$B$5:$B$304,$B121,$C$5:$C$304,"双分支固定")</x:f>
        <x:v>0</x:v>
      </x:c>
      <x:c r="I121" s="10" t="n">
        <x:f>F121-SUMIFS(F$5:F$304,$A$5:$A$304,$A121,$B$5:$B$304,$B121,$C$5:$C$304,"双分支固定")</x:f>
        <x:v>0</x:v>
      </x:c>
    </x:row>
    <x:row r="122" ht="22" customHeight="1">
      <x:c r="A122" s="2" t="str">
        <x:v>hazelnut</x:v>
      </x:c>
      <x:c r="B122" s="2" t="n">
        <x:v>4</x:v>
      </x:c>
      <x:c r="C122" s="2" t="str">
        <x:v>门控加收缩</x:v>
      </x:c>
      <x:c r="D122" s="9" t="n">
        <x:v>1</x:v>
      </x:c>
      <x:c r="E122" s="9" t="n">
        <x:v>0.9858799459131533</x:v>
      </x:c>
      <x:c r="F122" s="9" t="n">
        <x:v>0.9777784919373228</x:v>
      </x:c>
      <x:c r="G122" s="10" t="n">
        <x:f>D122-SUMIFS(D$5:D$304,$A$5:$A$304,$A122,$B$5:$B$304,$B122,$C$5:$C$304,"双分支固定")</x:f>
        <x:v>0</x:v>
      </x:c>
      <x:c r="H122" s="10" t="n">
        <x:f>E122-SUMIFS(E$5:E$304,$A$5:$A$304,$A122,$B$5:$B$304,$B122,$C$5:$C$304,"双分支固定")</x:f>
        <x:v>0.00043062962801299065</x:v>
      </x:c>
      <x:c r="I122" s="10" t="n">
        <x:f>F122-SUMIFS(F$5:F$304,$A$5:$A$304,$A122,$B$5:$B$304,$B122,$C$5:$C$304,"双分支固定")</x:f>
        <x:v>0.0006437191344975668</x:v>
      </x:c>
    </x:row>
    <x:row r="123" ht="22" customHeight="1">
      <x:c r="A123" s="2" t="str">
        <x:v>hazelnut</x:v>
      </x:c>
      <x:c r="B123" s="2" t="n">
        <x:v>4</x:v>
      </x:c>
      <x:c r="C123" s="2" t="str">
        <x:v>像素敏感性</x:v>
      </x:c>
      <x:c r="D123" s="9" t="n">
        <x:v>1</x:v>
      </x:c>
      <x:c r="E123" s="9" t="n">
        <x:v>0.9864437832138403</x:v>
      </x:c>
      <x:c r="F123" s="9" t="n">
        <x:v>0.9786288763526101</x:v>
      </x:c>
      <x:c r="G123" s="10" t="n">
        <x:f>D123-SUMIFS(D$5:D$304,$A$5:$A$304,$A123,$B$5:$B$304,$B123,$C$5:$C$304,"双分支固定")</x:f>
        <x:v>0</x:v>
      </x:c>
      <x:c r="H123" s="10" t="n">
        <x:f>E123-SUMIFS(E$5:E$304,$A$5:$A$304,$A123,$B$5:$B$304,$B123,$C$5:$C$304,"双分支固定")</x:f>
        <x:v>0.0009944669286999774</x:v>
      </x:c>
      <x:c r="I123" s="10" t="n">
        <x:f>F123-SUMIFS(F$5:F$304,$A$5:$A$304,$A123,$B$5:$B$304,$B123,$C$5:$C$304,"双分支固定")</x:f>
        <x:v>0.0014941035497848532</x:v>
      </x:c>
    </x:row>
    <x:row r="124" ht="22" customHeight="1">
      <x:c r="A124" s="2" t="str">
        <x:v>hazelnut</x:v>
      </x:c>
      <x:c r="B124" s="2" t="n">
        <x:v>4</x:v>
      </x:c>
      <x:c r="C124" s="2" t="str">
        <x:v>收缩0.25</x:v>
      </x:c>
      <x:c r="D124" s="9" t="n">
        <x:v>1</x:v>
      </x:c>
      <x:c r="E124" s="9" t="n">
        <x:v>0.9858799459131533</x:v>
      </x:c>
      <x:c r="F124" s="9" t="n">
        <x:v>0.9777784919373228</x:v>
      </x:c>
      <x:c r="G124" s="10" t="n">
        <x:f>D124-SUMIFS(D$5:D$304,$A$5:$A$304,$A124,$B$5:$B$304,$B124,$C$5:$C$304,"双分支固定")</x:f>
        <x:v>0</x:v>
      </x:c>
      <x:c r="H124" s="10" t="n">
        <x:f>E124-SUMIFS(E$5:E$304,$A$5:$A$304,$A124,$B$5:$B$304,$B124,$C$5:$C$304,"双分支固定")</x:f>
        <x:v>0.00043062962801299065</x:v>
      </x:c>
      <x:c r="I124" s="10" t="n">
        <x:f>F124-SUMIFS(F$5:F$304,$A$5:$A$304,$A124,$B$5:$B$304,$B124,$C$5:$C$304,"双分支固定")</x:f>
        <x:v>0.0006437191344975668</x:v>
      </x:c>
    </x:row>
    <x:row r="125" ht="22" customHeight="1">
      <x:c r="A125" s="2" t="str">
        <x:v>leather</x:v>
      </x:c>
      <x:c r="B125" s="2" t="n">
        <x:v>0</x:v>
      </x:c>
      <x:c r="C125" s="2" t="str">
        <x:v>双分支固定</x:v>
      </x:c>
      <x:c r="D125" s="9" t="n">
        <x:v>1</x:v>
      </x:c>
      <x:c r="E125" s="9" t="n">
        <x:v>0.990959303127473</x:v>
      </x:c>
      <x:c r="F125" s="9" t="n">
        <x:v>0.9877858859246365</x:v>
      </x:c>
      <x:c r="G125" s="10" t="n">
        <x:f>D125-SUMIFS(D$5:D$304,$A$5:$A$304,$A125,$B$5:$B$304,$B125,$C$5:$C$304,"双分支固定")</x:f>
        <x:v>0</x:v>
      </x:c>
      <x:c r="H125" s="10" t="n">
        <x:f>E125-SUMIFS(E$5:E$304,$A$5:$A$304,$A125,$B$5:$B$304,$B125,$C$5:$C$304,"双分支固定")</x:f>
        <x:v>0</x:v>
      </x:c>
      <x:c r="I125" s="10" t="n">
        <x:f>F125-SUMIFS(F$5:F$304,$A$5:$A$304,$A125,$B$5:$B$304,$B125,$C$5:$C$304,"双分支固定")</x:f>
        <x:v>0</x:v>
      </x:c>
    </x:row>
    <x:row r="126" ht="22" customHeight="1">
      <x:c r="A126" s="2" t="str">
        <x:v>leather</x:v>
      </x:c>
      <x:c r="B126" s="2" t="n">
        <x:v>0</x:v>
      </x:c>
      <x:c r="C126" s="2" t="str">
        <x:v>门控加收缩</x:v>
      </x:c>
      <x:c r="D126" s="9" t="n">
        <x:v>1</x:v>
      </x:c>
      <x:c r="E126" s="9" t="n">
        <x:v>0.9912269047812982</x:v>
      </x:c>
      <x:c r="F126" s="9" t="n">
        <x:v>0.9881474196838879</x:v>
      </x:c>
      <x:c r="G126" s="10" t="n">
        <x:f>D126-SUMIFS(D$5:D$304,$A$5:$A$304,$A126,$B$5:$B$304,$B126,$C$5:$C$304,"双分支固定")</x:f>
        <x:v>0</x:v>
      </x:c>
      <x:c r="H126" s="10" t="n">
        <x:f>E126-SUMIFS(E$5:E$304,$A$5:$A$304,$A126,$B$5:$B$304,$B126,$C$5:$C$304,"双分支固定")</x:f>
        <x:v>0.00026760165382511136</x:v>
      </x:c>
      <x:c r="I126" s="10" t="n">
        <x:f>F126-SUMIFS(F$5:F$304,$A$5:$A$304,$A126,$B$5:$B$304,$B126,$C$5:$C$304,"双分支固定")</x:f>
        <x:v>0.00036153375925140896</x:v>
      </x:c>
    </x:row>
    <x:row r="127" ht="22" customHeight="1">
      <x:c r="A127" s="2" t="str">
        <x:v>leather</x:v>
      </x:c>
      <x:c r="B127" s="2" t="n">
        <x:v>0</x:v>
      </x:c>
      <x:c r="C127" s="2" t="str">
        <x:v>像素敏感性</x:v>
      </x:c>
      <x:c r="D127" s="9" t="n">
        <x:v>1</x:v>
      </x:c>
      <x:c r="E127" s="9" t="n">
        <x:v>0.9919893844561238</x:v>
      </x:c>
      <x:c r="F127" s="9" t="n">
        <x:v>0.9891775418724077</x:v>
      </x:c>
      <x:c r="G127" s="10" t="n">
        <x:f>D127-SUMIFS(D$5:D$304,$A$5:$A$304,$A127,$B$5:$B$304,$B127,$C$5:$C$304,"双分支固定")</x:f>
        <x:v>0</x:v>
      </x:c>
      <x:c r="H127" s="10" t="n">
        <x:f>E127-SUMIFS(E$5:E$304,$A$5:$A$304,$A127,$B$5:$B$304,$B127,$C$5:$C$304,"双分支固定")</x:f>
        <x:v>0.0010300813286507893</x:v>
      </x:c>
      <x:c r="I127" s="10" t="n">
        <x:f>F127-SUMIFS(F$5:F$304,$A$5:$A$304,$A127,$B$5:$B$304,$B127,$C$5:$C$304,"双分支固定")</x:f>
        <x:v>0.001391655947771242</x:v>
      </x:c>
    </x:row>
    <x:row r="128" ht="22" customHeight="1">
      <x:c r="A128" s="2" t="str">
        <x:v>leather</x:v>
      </x:c>
      <x:c r="B128" s="2" t="n">
        <x:v>0</x:v>
      </x:c>
      <x:c r="C128" s="2" t="str">
        <x:v>收缩0.25</x:v>
      </x:c>
      <x:c r="D128" s="9" t="n">
        <x:v>1</x:v>
      </x:c>
      <x:c r="E128" s="9" t="n">
        <x:v>0.9912269047812982</x:v>
      </x:c>
      <x:c r="F128" s="9" t="n">
        <x:v>0.9881474196838879</x:v>
      </x:c>
      <x:c r="G128" s="10" t="n">
        <x:f>D128-SUMIFS(D$5:D$304,$A$5:$A$304,$A128,$B$5:$B$304,$B128,$C$5:$C$304,"双分支固定")</x:f>
        <x:v>0</x:v>
      </x:c>
      <x:c r="H128" s="10" t="n">
        <x:f>E128-SUMIFS(E$5:E$304,$A$5:$A$304,$A128,$B$5:$B$304,$B128,$C$5:$C$304,"双分支固定")</x:f>
        <x:v>0.00026760165382511136</x:v>
      </x:c>
      <x:c r="I128" s="10" t="n">
        <x:f>F128-SUMIFS(F$5:F$304,$A$5:$A$304,$A128,$B$5:$B$304,$B128,$C$5:$C$304,"双分支固定")</x:f>
        <x:v>0.00036153375925140896</x:v>
      </x:c>
    </x:row>
    <x:row r="129" ht="22" customHeight="1">
      <x:c r="A129" s="2" t="str">
        <x:v>leather</x:v>
      </x:c>
      <x:c r="B129" s="2" t="n">
        <x:v>1</x:v>
      </x:c>
      <x:c r="C129" s="2" t="str">
        <x:v>双分支固定</x:v>
      </x:c>
      <x:c r="D129" s="9" t="n">
        <x:v>1</x:v>
      </x:c>
      <x:c r="E129" s="9" t="n">
        <x:v>0.9911408804191518</x:v>
      </x:c>
      <x:c r="F129" s="9" t="n">
        <x:v>0.988031199988538</x:v>
      </x:c>
      <x:c r="G129" s="10" t="n">
        <x:f>D129-SUMIFS(D$5:D$304,$A$5:$A$304,$A129,$B$5:$B$304,$B129,$C$5:$C$304,"双分支固定")</x:f>
        <x:v>0</x:v>
      </x:c>
      <x:c r="H129" s="10" t="n">
        <x:f>E129-SUMIFS(E$5:E$304,$A$5:$A$304,$A129,$B$5:$B$304,$B129,$C$5:$C$304,"双分支固定")</x:f>
        <x:v>0</x:v>
      </x:c>
      <x:c r="I129" s="10" t="n">
        <x:f>F129-SUMIFS(F$5:F$304,$A$5:$A$304,$A129,$B$5:$B$304,$B129,$C$5:$C$304,"双分支固定")</x:f>
        <x:v>0</x:v>
      </x:c>
    </x:row>
    <x:row r="130" ht="22" customHeight="1">
      <x:c r="A130" s="2" t="str">
        <x:v>leather</x:v>
      </x:c>
      <x:c r="B130" s="2" t="n">
        <x:v>1</x:v>
      </x:c>
      <x:c r="C130" s="2" t="str">
        <x:v>门控加收缩</x:v>
      </x:c>
      <x:c r="D130" s="9" t="n">
        <x:v>1</x:v>
      </x:c>
      <x:c r="E130" s="9" t="n">
        <x:v>0.9911408804191518</x:v>
      </x:c>
      <x:c r="F130" s="9" t="n">
        <x:v>0.988031199988538</x:v>
      </x:c>
      <x:c r="G130" s="10" t="n">
        <x:f>D130-SUMIFS(D$5:D$304,$A$5:$A$304,$A130,$B$5:$B$304,$B130,$C$5:$C$304,"双分支固定")</x:f>
        <x:v>0</x:v>
      </x:c>
      <x:c r="H130" s="10" t="n">
        <x:f>E130-SUMIFS(E$5:E$304,$A$5:$A$304,$A130,$B$5:$B$304,$B130,$C$5:$C$304,"双分支固定")</x:f>
        <x:v>0</x:v>
      </x:c>
      <x:c r="I130" s="10" t="n">
        <x:f>F130-SUMIFS(F$5:F$304,$A$5:$A$304,$A130,$B$5:$B$304,$B130,$C$5:$C$304,"双分支固定")</x:f>
        <x:v>0</x:v>
      </x:c>
    </x:row>
    <x:row r="131" ht="22" customHeight="1">
      <x:c r="A131" s="2" t="str">
        <x:v>leather</x:v>
      </x:c>
      <x:c r="B131" s="2" t="n">
        <x:v>1</x:v>
      </x:c>
      <x:c r="C131" s="2" t="str">
        <x:v>像素敏感性</x:v>
      </x:c>
      <x:c r="D131" s="9" t="n">
        <x:v>1</x:v>
      </x:c>
      <x:c r="E131" s="9" t="n">
        <x:v>0.9915655109105936</x:v>
      </x:c>
      <x:c r="F131" s="9" t="n">
        <x:v>0.988604884137641</x:v>
      </x:c>
      <x:c r="G131" s="10" t="n">
        <x:f>D131-SUMIFS(D$5:D$304,$A$5:$A$304,$A131,$B$5:$B$304,$B131,$C$5:$C$304,"双分支固定")</x:f>
        <x:v>0</x:v>
      </x:c>
      <x:c r="H131" s="10" t="n">
        <x:f>E131-SUMIFS(E$5:E$304,$A$5:$A$304,$A131,$B$5:$B$304,$B131,$C$5:$C$304,"双分支固定")</x:f>
        <x:v>0.0004246304914418131</x:v>
      </x:c>
      <x:c r="I131" s="10" t="n">
        <x:f>F131-SUMIFS(F$5:F$304,$A$5:$A$304,$A131,$B$5:$B$304,$B131,$C$5:$C$304,"双分支固定")</x:f>
        <x:v>0.000573684149103082</x:v>
      </x:c>
    </x:row>
    <x:row r="132" ht="22" customHeight="1">
      <x:c r="A132" s="2" t="str">
        <x:v>leather</x:v>
      </x:c>
      <x:c r="B132" s="2" t="n">
        <x:v>1</x:v>
      </x:c>
      <x:c r="C132" s="2" t="str">
        <x:v>收缩0.25</x:v>
      </x:c>
      <x:c r="D132" s="9" t="n">
        <x:v>1</x:v>
      </x:c>
      <x:c r="E132" s="9" t="n">
        <x:v>0.9912489328774502</x:v>
      </x:c>
      <x:c r="F132" s="9" t="n">
        <x:v>0.9881771808146658</x:v>
      </x:c>
      <x:c r="G132" s="10" t="n">
        <x:f>D132-SUMIFS(D$5:D$304,$A$5:$A$304,$A132,$B$5:$B$304,$B132,$C$5:$C$304,"双分支固定")</x:f>
        <x:v>0</x:v>
      </x:c>
      <x:c r="H132" s="10" t="n">
        <x:f>E132-SUMIFS(E$5:E$304,$A$5:$A$304,$A132,$B$5:$B$304,$B132,$C$5:$C$304,"双分支固定")</x:f>
        <x:v>0.00010805245829836885</x:v>
      </x:c>
      <x:c r="I132" s="10" t="n">
        <x:f>F132-SUMIFS(F$5:F$304,$A$5:$A$304,$A132,$B$5:$B$304,$B132,$C$5:$C$304,"双分支固定")</x:f>
        <x:v>0.00014598082612782282</x:v>
      </x:c>
    </x:row>
    <x:row r="133" ht="22" customHeight="1">
      <x:c r="A133" s="2" t="str">
        <x:v>leather</x:v>
      </x:c>
      <x:c r="B133" s="2" t="n">
        <x:v>2</x:v>
      </x:c>
      <x:c r="C133" s="2" t="str">
        <x:v>双分支固定</x:v>
      </x:c>
      <x:c r="D133" s="9" t="n">
        <x:v>1</x:v>
      </x:c>
      <x:c r="E133" s="9" t="n">
        <x:v>0.9909349565400603</x:v>
      </x:c>
      <x:c r="F133" s="9" t="n">
        <x:v>0.9877529933279489</x:v>
      </x:c>
      <x:c r="G133" s="10" t="n">
        <x:f>D133-SUMIFS(D$5:D$304,$A$5:$A$304,$A133,$B$5:$B$304,$B133,$C$5:$C$304,"双分支固定")</x:f>
        <x:v>0</x:v>
      </x:c>
      <x:c r="H133" s="10" t="n">
        <x:f>E133-SUMIFS(E$5:E$304,$A$5:$A$304,$A133,$B$5:$B$304,$B133,$C$5:$C$304,"双分支固定")</x:f>
        <x:v>0</x:v>
      </x:c>
      <x:c r="I133" s="10" t="n">
        <x:f>F133-SUMIFS(F$5:F$304,$A$5:$A$304,$A133,$B$5:$B$304,$B133,$C$5:$C$304,"双分支固定")</x:f>
        <x:v>0</x:v>
      </x:c>
    </x:row>
    <x:row r="134" ht="22" customHeight="1">
      <x:c r="A134" s="2" t="str">
        <x:v>leather</x:v>
      </x:c>
      <x:c r="B134" s="2" t="n">
        <x:v>2</x:v>
      </x:c>
      <x:c r="C134" s="2" t="str">
        <x:v>门控加收缩</x:v>
      </x:c>
      <x:c r="D134" s="9" t="n">
        <x:v>1</x:v>
      </x:c>
      <x:c r="E134" s="9" t="n">
        <x:v>0.9912461857398476</x:v>
      </x:c>
      <x:c r="F134" s="9" t="n">
        <x:v>0.9881734685416838</x:v>
      </x:c>
      <x:c r="G134" s="10" t="n">
        <x:f>D134-SUMIFS(D$5:D$304,$A$5:$A$304,$A134,$B$5:$B$304,$B134,$C$5:$C$304,"双分支固定")</x:f>
        <x:v>0</x:v>
      </x:c>
      <x:c r="H134" s="10" t="n">
        <x:f>E134-SUMIFS(E$5:E$304,$A$5:$A$304,$A134,$B$5:$B$304,$B134,$C$5:$C$304,"双分支固定")</x:f>
        <x:v>0.0003112291997873218</x:v>
      </x:c>
      <x:c r="I134" s="10" t="n">
        <x:f>F134-SUMIFS(F$5:F$304,$A$5:$A$304,$A134,$B$5:$B$304,$B134,$C$5:$C$304,"双分支固定")</x:f>
        <x:v>0.0004204752137348944</x:v>
      </x:c>
    </x:row>
    <x:row r="135" ht="22" customHeight="1">
      <x:c r="A135" s="2" t="str">
        <x:v>leather</x:v>
      </x:c>
      <x:c r="B135" s="2" t="n">
        <x:v>2</x:v>
      </x:c>
      <x:c r="C135" s="2" t="str">
        <x:v>像素敏感性</x:v>
      </x:c>
      <x:c r="D135" s="9" t="n">
        <x:v>1</x:v>
      </x:c>
      <x:c r="E135" s="9" t="n">
        <x:v>0.9921224561925768</x:v>
      </x:c>
      <x:c r="F135" s="9" t="n">
        <x:v>0.9893573240581481</x:v>
      </x:c>
      <x:c r="G135" s="10" t="n">
        <x:f>D135-SUMIFS(D$5:D$304,$A$5:$A$304,$A135,$B$5:$B$304,$B135,$C$5:$C$304,"双分支固定")</x:f>
        <x:v>0</x:v>
      </x:c>
      <x:c r="H135" s="10" t="n">
        <x:f>E135-SUMIFS(E$5:E$304,$A$5:$A$304,$A135,$B$5:$B$304,$B135,$C$5:$C$304,"双分支固定")</x:f>
        <x:v>0.0011874996525165216</x:v>
      </x:c>
      <x:c r="I135" s="10" t="n">
        <x:f>F135-SUMIFS(F$5:F$304,$A$5:$A$304,$A135,$B$5:$B$304,$B135,$C$5:$C$304,"双分支固定")</x:f>
        <x:v>0.001604330730199277</x:v>
      </x:c>
    </x:row>
    <x:row r="136" ht="22" customHeight="1">
      <x:c r="A136" s="2" t="str">
        <x:v>leather</x:v>
      </x:c>
      <x:c r="B136" s="2" t="n">
        <x:v>2</x:v>
      </x:c>
      <x:c r="C136" s="2" t="str">
        <x:v>收缩0.25</x:v>
      </x:c>
      <x:c r="D136" s="9" t="n">
        <x:v>1</x:v>
      </x:c>
      <x:c r="E136" s="9" t="n">
        <x:v>0.9912461857398476</x:v>
      </x:c>
      <x:c r="F136" s="9" t="n">
        <x:v>0.9881734685416838</x:v>
      </x:c>
      <x:c r="G136" s="10" t="n">
        <x:f>D136-SUMIFS(D$5:D$304,$A$5:$A$304,$A136,$B$5:$B$304,$B136,$C$5:$C$304,"双分支固定")</x:f>
        <x:v>0</x:v>
      </x:c>
      <x:c r="H136" s="10" t="n">
        <x:f>E136-SUMIFS(E$5:E$304,$A$5:$A$304,$A136,$B$5:$B$304,$B136,$C$5:$C$304,"双分支固定")</x:f>
        <x:v>0.0003112291997873218</x:v>
      </x:c>
      <x:c r="I136" s="10" t="n">
        <x:f>F136-SUMIFS(F$5:F$304,$A$5:$A$304,$A136,$B$5:$B$304,$B136,$C$5:$C$304,"双分支固定")</x:f>
        <x:v>0.0004204752137348944</x:v>
      </x:c>
    </x:row>
    <x:row r="137" ht="22" customHeight="1">
      <x:c r="A137" s="2" t="str">
        <x:v>leather</x:v>
      </x:c>
      <x:c r="B137" s="2" t="n">
        <x:v>3</x:v>
      </x:c>
      <x:c r="C137" s="2" t="str">
        <x:v>双分支固定</x:v>
      </x:c>
      <x:c r="D137" s="9" t="n">
        <x:v>1</x:v>
      </x:c>
      <x:c r="E137" s="9" t="n">
        <x:v>0.9910231670139861</x:v>
      </x:c>
      <x:c r="F137" s="9" t="n">
        <x:v>0.9878721669720121</x:v>
      </x:c>
      <x:c r="G137" s="10" t="n">
        <x:f>D137-SUMIFS(D$5:D$304,$A$5:$A$304,$A137,$B$5:$B$304,$B137,$C$5:$C$304,"双分支固定")</x:f>
        <x:v>0</x:v>
      </x:c>
      <x:c r="H137" s="10" t="n">
        <x:f>E137-SUMIFS(E$5:E$304,$A$5:$A$304,$A137,$B$5:$B$304,$B137,$C$5:$C$304,"双分支固定")</x:f>
        <x:v>0</x:v>
      </x:c>
      <x:c r="I137" s="10" t="n">
        <x:f>F137-SUMIFS(F$5:F$304,$A$5:$A$304,$A137,$B$5:$B$304,$B137,$C$5:$C$304,"双分支固定")</x:f>
        <x:v>0</x:v>
      </x:c>
    </x:row>
    <x:row r="138" ht="22" customHeight="1">
      <x:c r="A138" s="2" t="str">
        <x:v>leather</x:v>
      </x:c>
      <x:c r="B138" s="2" t="n">
        <x:v>3</x:v>
      </x:c>
      <x:c r="C138" s="2" t="str">
        <x:v>门控加收缩</x:v>
      </x:c>
      <x:c r="D138" s="9" t="n">
        <x:v>1</x:v>
      </x:c>
      <x:c r="E138" s="9" t="n">
        <x:v>0.9910914211528277</x:v>
      </x:c>
      <x:c r="F138" s="9" t="n">
        <x:v>0.9879643793146755</x:v>
      </x:c>
      <x:c r="G138" s="10" t="n">
        <x:f>D138-SUMIFS(D$5:D$304,$A$5:$A$304,$A138,$B$5:$B$304,$B138,$C$5:$C$304,"双分支固定")</x:f>
        <x:v>0</x:v>
      </x:c>
      <x:c r="H138" s="10" t="n">
        <x:f>E138-SUMIFS(E$5:E$304,$A$5:$A$304,$A138,$B$5:$B$304,$B138,$C$5:$C$304,"双分支固定")</x:f>
        <x:v>0.0000682541388415947</x:v>
      </x:c>
      <x:c r="I138" s="10" t="n">
        <x:f>F138-SUMIFS(F$5:F$304,$A$5:$A$304,$A138,$B$5:$B$304,$B138,$C$5:$C$304,"双分支固定")</x:f>
        <x:v>0.00009221234266343359</x:v>
      </x:c>
    </x:row>
    <x:row r="139" ht="22" customHeight="1">
      <x:c r="A139" s="2" t="str">
        <x:v>leather</x:v>
      </x:c>
      <x:c r="B139" s="2" t="n">
        <x:v>3</x:v>
      </x:c>
      <x:c r="C139" s="2" t="str">
        <x:v>像素敏感性</x:v>
      </x:c>
      <x:c r="D139" s="9" t="n">
        <x:v>1</x:v>
      </x:c>
      <x:c r="E139" s="9" t="n">
        <x:v>0.9912937585879543</x:v>
      </x:c>
      <x:c r="F139" s="9" t="n">
        <x:v>0.9882377401572303</x:v>
      </x:c>
      <x:c r="G139" s="10" t="n">
        <x:f>D139-SUMIFS(D$5:D$304,$A$5:$A$304,$A139,$B$5:$B$304,$B139,$C$5:$C$304,"双分支固定")</x:f>
        <x:v>0</x:v>
      </x:c>
      <x:c r="H139" s="10" t="n">
        <x:f>E139-SUMIFS(E$5:E$304,$A$5:$A$304,$A139,$B$5:$B$304,$B139,$C$5:$C$304,"双分支固定")</x:f>
        <x:v>0.0002705915739682485</x:v>
      </x:c>
      <x:c r="I139" s="10" t="n">
        <x:f>F139-SUMIFS(F$5:F$304,$A$5:$A$304,$A139,$B$5:$B$304,$B139,$C$5:$C$304,"双分支固定")</x:f>
        <x:v>0.00036557318521823756</x:v>
      </x:c>
    </x:row>
    <x:row r="140" ht="22" customHeight="1">
      <x:c r="A140" s="2" t="str">
        <x:v>leather</x:v>
      </x:c>
      <x:c r="B140" s="2" t="n">
        <x:v>3</x:v>
      </x:c>
      <x:c r="C140" s="2" t="str">
        <x:v>收缩0.25</x:v>
      </x:c>
      <x:c r="D140" s="9" t="n">
        <x:v>1</x:v>
      </x:c>
      <x:c r="E140" s="9" t="n">
        <x:v>0.9910914211528277</x:v>
      </x:c>
      <x:c r="F140" s="9" t="n">
        <x:v>0.9879643793146755</x:v>
      </x:c>
      <x:c r="G140" s="10" t="n">
        <x:f>D140-SUMIFS(D$5:D$304,$A$5:$A$304,$A140,$B$5:$B$304,$B140,$C$5:$C$304,"双分支固定")</x:f>
        <x:v>0</x:v>
      </x:c>
      <x:c r="H140" s="10" t="n">
        <x:f>E140-SUMIFS(E$5:E$304,$A$5:$A$304,$A140,$B$5:$B$304,$B140,$C$5:$C$304,"双分支固定")</x:f>
        <x:v>0.0000682541388415947</x:v>
      </x:c>
      <x:c r="I140" s="10" t="n">
        <x:f>F140-SUMIFS(F$5:F$304,$A$5:$A$304,$A140,$B$5:$B$304,$B140,$C$5:$C$304,"双分支固定")</x:f>
        <x:v>0.00009221234266343359</x:v>
      </x:c>
    </x:row>
    <x:row r="141" ht="22" customHeight="1">
      <x:c r="A141" s="2" t="str">
        <x:v>leather</x:v>
      </x:c>
      <x:c r="B141" s="2" t="n">
        <x:v>4</x:v>
      </x:c>
      <x:c r="C141" s="2" t="str">
        <x:v>双分支固定</x:v>
      </x:c>
      <x:c r="D141" s="9" t="n">
        <x:v>1</x:v>
      </x:c>
      <x:c r="E141" s="9" t="n">
        <x:v>0.9910891546331994</x:v>
      </x:c>
      <x:c r="F141" s="9" t="n">
        <x:v>0.9879613172134147</x:v>
      </x:c>
      <x:c r="G141" s="10" t="n">
        <x:f>D141-SUMIFS(D$5:D$304,$A$5:$A$304,$A141,$B$5:$B$304,$B141,$C$5:$C$304,"双分支固定")</x:f>
        <x:v>0</x:v>
      </x:c>
      <x:c r="H141" s="10" t="n">
        <x:f>E141-SUMIFS(E$5:E$304,$A$5:$A$304,$A141,$B$5:$B$304,$B141,$C$5:$C$304,"双分支固定")</x:f>
        <x:v>0</x:v>
      </x:c>
      <x:c r="I141" s="10" t="n">
        <x:f>F141-SUMIFS(F$5:F$304,$A$5:$A$304,$A141,$B$5:$B$304,$B141,$C$5:$C$304,"双分支固定")</x:f>
        <x:v>0</x:v>
      </x:c>
    </x:row>
    <x:row r="142" ht="22" customHeight="1">
      <x:c r="A142" s="2" t="str">
        <x:v>leather</x:v>
      </x:c>
      <x:c r="B142" s="2" t="n">
        <x:v>4</x:v>
      </x:c>
      <x:c r="C142" s="2" t="str">
        <x:v>门控加收缩</x:v>
      </x:c>
      <x:c r="D142" s="9" t="n">
        <x:v>1</x:v>
      </x:c>
      <x:c r="E142" s="9" t="n">
        <x:v>0.9910891546331994</x:v>
      </x:c>
      <x:c r="F142" s="9" t="n">
        <x:v>0.9879613172134147</x:v>
      </x:c>
      <x:c r="G142" s="10" t="n">
        <x:f>D142-SUMIFS(D$5:D$304,$A$5:$A$304,$A142,$B$5:$B$304,$B142,$C$5:$C$304,"双分支固定")</x:f>
        <x:v>0</x:v>
      </x:c>
      <x:c r="H142" s="10" t="n">
        <x:f>E142-SUMIFS(E$5:E$304,$A$5:$A$304,$A142,$B$5:$B$304,$B142,$C$5:$C$304,"双分支固定")</x:f>
        <x:v>0</x:v>
      </x:c>
      <x:c r="I142" s="10" t="n">
        <x:f>F142-SUMIFS(F$5:F$304,$A$5:$A$304,$A142,$B$5:$B$304,$B142,$C$5:$C$304,"双分支固定")</x:f>
        <x:v>0</x:v>
      </x:c>
    </x:row>
    <x:row r="143" ht="22" customHeight="1">
      <x:c r="A143" s="2" t="str">
        <x:v>leather</x:v>
      </x:c>
      <x:c r="B143" s="2" t="n">
        <x:v>4</x:v>
      </x:c>
      <x:c r="C143" s="2" t="str">
        <x:v>像素敏感性</x:v>
      </x:c>
      <x:c r="D143" s="9" t="n">
        <x:v>1</x:v>
      </x:c>
      <x:c r="E143" s="9" t="n">
        <x:v>0.9922901649382583</x:v>
      </x:c>
      <x:c r="F143" s="9" t="n">
        <x:v>0.989583906392764</x:v>
      </x:c>
      <x:c r="G143" s="10" t="n">
        <x:f>D143-SUMIFS(D$5:D$304,$A$5:$A$304,$A143,$B$5:$B$304,$B143,$C$5:$C$304,"双分支固定")</x:f>
        <x:v>0</x:v>
      </x:c>
      <x:c r="H143" s="10" t="n">
        <x:f>E143-SUMIFS(E$5:E$304,$A$5:$A$304,$A143,$B$5:$B$304,$B143,$C$5:$C$304,"双分支固定")</x:f>
        <x:v>0.001201010305058925</x:v>
      </x:c>
      <x:c r="I143" s="10" t="n">
        <x:f>F143-SUMIFS(F$5:F$304,$A$5:$A$304,$A143,$B$5:$B$304,$B143,$C$5:$C$304,"双分支固定")</x:f>
        <x:v>0.0016225891793492098</x:v>
      </x:c>
    </x:row>
    <x:row r="144" ht="22" customHeight="1">
      <x:c r="A144" s="2" t="str">
        <x:v>leather</x:v>
      </x:c>
      <x:c r="B144" s="2" t="n">
        <x:v>4</x:v>
      </x:c>
      <x:c r="C144" s="2" t="str">
        <x:v>收缩0.25</x:v>
      </x:c>
      <x:c r="D144" s="9" t="n">
        <x:v>1</x:v>
      </x:c>
      <x:c r="E144" s="9" t="n">
        <x:v>0.9914037515970856</x:v>
      </x:c>
      <x:c r="F144" s="9" t="n">
        <x:v>0.9883863423258421</x:v>
      </x:c>
      <x:c r="G144" s="10" t="n">
        <x:f>D144-SUMIFS(D$5:D$304,$A$5:$A$304,$A144,$B$5:$B$304,$B144,$C$5:$C$304,"双分支固定")</x:f>
        <x:v>0</x:v>
      </x:c>
      <x:c r="H144" s="10" t="n">
        <x:f>E144-SUMIFS(E$5:E$304,$A$5:$A$304,$A144,$B$5:$B$304,$B144,$C$5:$C$304,"双分支固定")</x:f>
        <x:v>0.0003145969638862489</x:v>
      </x:c>
      <x:c r="I144" s="10" t="n">
        <x:f>F144-SUMIFS(F$5:F$304,$A$5:$A$304,$A144,$B$5:$B$304,$B144,$C$5:$C$304,"双分支固定")</x:f>
        <x:v>0.0004250251124273685</x:v>
      </x:c>
    </x:row>
    <x:row r="145" ht="22" customHeight="1">
      <x:c r="A145" s="2" t="str">
        <x:v>metal_nut</x:v>
      </x:c>
      <x:c r="B145" s="2" t="n">
        <x:v>0</x:v>
      </x:c>
      <x:c r="C145" s="2" t="str">
        <x:v>双分支固定</x:v>
      </x:c>
      <x:c r="D145" s="9" t="n">
        <x:v>0.9916911045943304</x:v>
      </x:c>
      <x:c r="E145" s="9" t="n">
        <x:v>0.9808401656661636</x:v>
      </x:c>
      <x:c r="F145" s="9" t="n">
        <x:v>0.9764052951764579</x:v>
      </x:c>
      <x:c r="G145" s="10" t="n">
        <x:f>D145-SUMIFS(D$5:D$304,$A$5:$A$304,$A145,$B$5:$B$304,$B145,$C$5:$C$304,"双分支固定")</x:f>
        <x:v>0</x:v>
      </x:c>
      <x:c r="H145" s="10" t="n">
        <x:f>E145-SUMIFS(E$5:E$304,$A$5:$A$304,$A145,$B$5:$B$304,$B145,$C$5:$C$304,"双分支固定")</x:f>
        <x:v>0</x:v>
      </x:c>
      <x:c r="I145" s="10" t="n">
        <x:f>F145-SUMIFS(F$5:F$304,$A$5:$A$304,$A145,$B$5:$B$304,$B145,$C$5:$C$304,"双分支固定")</x:f>
        <x:v>0</x:v>
      </x:c>
    </x:row>
    <x:row r="146" ht="22" customHeight="1">
      <x:c r="A146" s="2" t="str">
        <x:v>metal_nut</x:v>
      </x:c>
      <x:c r="B146" s="2" t="n">
        <x:v>0</x:v>
      </x:c>
      <x:c r="C146" s="2" t="str">
        <x:v>门控加收缩</x:v>
      </x:c>
      <x:c r="D146" s="9" t="n">
        <x:v>0.9916911045943304</x:v>
      </x:c>
      <x:c r="E146" s="9" t="n">
        <x:v>0.9808401656661636</x:v>
      </x:c>
      <x:c r="F146" s="9" t="n">
        <x:v>0.9764052951764579</x:v>
      </x:c>
      <x:c r="G146" s="10" t="n">
        <x:f>D146-SUMIFS(D$5:D$304,$A$5:$A$304,$A146,$B$5:$B$304,$B146,$C$5:$C$304,"双分支固定")</x:f>
        <x:v>0</x:v>
      </x:c>
      <x:c r="H146" s="10" t="n">
        <x:f>E146-SUMIFS(E$5:E$304,$A$5:$A$304,$A146,$B$5:$B$304,$B146,$C$5:$C$304,"双分支固定")</x:f>
        <x:v>0</x:v>
      </x:c>
      <x:c r="I146" s="10" t="n">
        <x:f>F146-SUMIFS(F$5:F$304,$A$5:$A$304,$A146,$B$5:$B$304,$B146,$C$5:$C$304,"双分支固定")</x:f>
        <x:v>0</x:v>
      </x:c>
    </x:row>
    <x:row r="147" ht="22" customHeight="1">
      <x:c r="A147" s="2" t="str">
        <x:v>metal_nut</x:v>
      </x:c>
      <x:c r="B147" s="2" t="n">
        <x:v>0</x:v>
      </x:c>
      <x:c r="C147" s="2" t="str">
        <x:v>像素敏感性</x:v>
      </x:c>
      <x:c r="D147" s="9" t="n">
        <x:v>0.9916911045943304</x:v>
      </x:c>
      <x:c r="E147" s="9" t="n">
        <x:v>0.9774487884565813</x:v>
      </x:c>
      <x:c r="F147" s="9" t="n">
        <x:v>0.9729094024002404</x:v>
      </x:c>
      <x:c r="G147" s="10" t="n">
        <x:f>D147-SUMIFS(D$5:D$304,$A$5:$A$304,$A147,$B$5:$B$304,$B147,$C$5:$C$304,"双分支固定")</x:f>
        <x:v>0</x:v>
      </x:c>
      <x:c r="H147" s="10" t="n">
        <x:f>E147-SUMIFS(E$5:E$304,$A$5:$A$304,$A147,$B$5:$B$304,$B147,$C$5:$C$304,"双分支固定")</x:f>
        <x:v>-0.003391377209582269</x:v>
      </x:c>
      <x:c r="I147" s="10" t="n">
        <x:f>F147-SUMIFS(F$5:F$304,$A$5:$A$304,$A147,$B$5:$B$304,$B147,$C$5:$C$304,"双分支固定")</x:f>
        <x:v>-0.003495892776217535</x:v>
      </x:c>
    </x:row>
    <x:row r="148" ht="22" customHeight="1">
      <x:c r="A148" s="2" t="str">
        <x:v>metal_nut</x:v>
      </x:c>
      <x:c r="B148" s="2" t="n">
        <x:v>0</x:v>
      </x:c>
      <x:c r="C148" s="2" t="str">
        <x:v>收缩0.25</x:v>
      </x:c>
      <x:c r="D148" s="9" t="n">
        <x:v>0.9916911045943304</x:v>
      </x:c>
      <x:c r="E148" s="9" t="n">
        <x:v>0.9807091742469066</x:v>
      </x:c>
      <x:c r="F148" s="9" t="n">
        <x:v>0.9763208981994502</x:v>
      </x:c>
      <x:c r="G148" s="10" t="n">
        <x:f>D148-SUMIFS(D$5:D$304,$A$5:$A$304,$A148,$B$5:$B$304,$B148,$C$5:$C$304,"双分支固定")</x:f>
        <x:v>0</x:v>
      </x:c>
      <x:c r="H148" s="10" t="n">
        <x:f>E148-SUMIFS(E$5:E$304,$A$5:$A$304,$A148,$B$5:$B$304,$B148,$C$5:$C$304,"双分支固定")</x:f>
        <x:v>-0.0001309914192569872</x:v>
      </x:c>
      <x:c r="I148" s="10" t="n">
        <x:f>F148-SUMIFS(F$5:F$304,$A$5:$A$304,$A148,$B$5:$B$304,$B148,$C$5:$C$304,"双分支固定")</x:f>
        <x:v>-0.00008439697700768356</x:v>
      </x:c>
    </x:row>
    <x:row r="149" ht="22" customHeight="1">
      <x:c r="A149" s="2" t="str">
        <x:v>metal_nut</x:v>
      </x:c>
      <x:c r="B149" s="2" t="n">
        <x:v>1</x:v>
      </x:c>
      <x:c r="C149" s="2" t="str">
        <x:v>双分支固定</x:v>
      </x:c>
      <x:c r="D149" s="9" t="n">
        <x:v>0.9941348973607038</x:v>
      </x:c>
      <x:c r="E149" s="9" t="n">
        <x:v>0.9805286016192926</x:v>
      </x:c>
      <x:c r="F149" s="9" t="n">
        <x:v>0.9758597702177456</x:v>
      </x:c>
      <x:c r="G149" s="10" t="n">
        <x:f>D149-SUMIFS(D$5:D$304,$A$5:$A$304,$A149,$B$5:$B$304,$B149,$C$5:$C$304,"双分支固定")</x:f>
        <x:v>0</x:v>
      </x:c>
      <x:c r="H149" s="10" t="n">
        <x:f>E149-SUMIFS(E$5:E$304,$A$5:$A$304,$A149,$B$5:$B$304,$B149,$C$5:$C$304,"双分支固定")</x:f>
        <x:v>0</x:v>
      </x:c>
      <x:c r="I149" s="10" t="n">
        <x:f>F149-SUMIFS(F$5:F$304,$A$5:$A$304,$A149,$B$5:$B$304,$B149,$C$5:$C$304,"双分支固定")</x:f>
        <x:v>0</x:v>
      </x:c>
    </x:row>
    <x:row r="150" ht="22" customHeight="1">
      <x:c r="A150" s="2" t="str">
        <x:v>metal_nut</x:v>
      </x:c>
      <x:c r="B150" s="2" t="n">
        <x:v>1</x:v>
      </x:c>
      <x:c r="C150" s="2" t="str">
        <x:v>门控加收缩</x:v>
      </x:c>
      <x:c r="D150" s="9" t="n">
        <x:v>0.9941348973607038</x:v>
      </x:c>
      <x:c r="E150" s="9" t="n">
        <x:v>0.9804838546735073</x:v>
      </x:c>
      <x:c r="F150" s="9" t="n">
        <x:v>0.975846965046863</x:v>
      </x:c>
      <x:c r="G150" s="10" t="n">
        <x:f>D150-SUMIFS(D$5:D$304,$A$5:$A$304,$A150,$B$5:$B$304,$B150,$C$5:$C$304,"双分支固定")</x:f>
        <x:v>0</x:v>
      </x:c>
      <x:c r="H150" s="10" t="n">
        <x:f>E150-SUMIFS(E$5:E$304,$A$5:$A$304,$A150,$B$5:$B$304,$B150,$C$5:$C$304,"双分支固定")</x:f>
        <x:v>-0.00004474694578526783</x:v>
      </x:c>
      <x:c r="I150" s="10" t="n">
        <x:f>F150-SUMIFS(F$5:F$304,$A$5:$A$304,$A150,$B$5:$B$304,$B150,$C$5:$C$304,"双分支固定")</x:f>
        <x:v>-0.000012805170882645989</x:v>
      </x:c>
    </x:row>
    <x:row r="151" ht="22" customHeight="1">
      <x:c r="A151" s="2" t="str">
        <x:v>metal_nut</x:v>
      </x:c>
      <x:c r="B151" s="2" t="n">
        <x:v>1</x:v>
      </x:c>
      <x:c r="C151" s="2" t="str">
        <x:v>像素敏感性</x:v>
      </x:c>
      <x:c r="D151" s="9" t="n">
        <x:v>0.9941348973607038</x:v>
      </x:c>
      <x:c r="E151" s="9" t="n">
        <x:v>0.9789961773796287</x:v>
      </x:c>
      <x:c r="F151" s="9" t="n">
        <x:v>0.97430936909517</x:v>
      </x:c>
      <x:c r="G151" s="10" t="n">
        <x:f>D151-SUMIFS(D$5:D$304,$A$5:$A$304,$A151,$B$5:$B$304,$B151,$C$5:$C$304,"双分支固定")</x:f>
        <x:v>0</x:v>
      </x:c>
      <x:c r="H151" s="10" t="n">
        <x:f>E151-SUMIFS(E$5:E$304,$A$5:$A$304,$A151,$B$5:$B$304,$B151,$C$5:$C$304,"双分支固定")</x:f>
        <x:v>-0.001532424239663821</x:v>
      </x:c>
      <x:c r="I151" s="10" t="n">
        <x:f>F151-SUMIFS(F$5:F$304,$A$5:$A$304,$A151,$B$5:$B$304,$B151,$C$5:$C$304,"双分支固定")</x:f>
        <x:v>-0.0015504011225756509</x:v>
      </x:c>
    </x:row>
    <x:row r="152" ht="22" customHeight="1">
      <x:c r="A152" s="2" t="str">
        <x:v>metal_nut</x:v>
      </x:c>
      <x:c r="B152" s="2" t="n">
        <x:v>1</x:v>
      </x:c>
      <x:c r="C152" s="2" t="str">
        <x:v>收缩0.25</x:v>
      </x:c>
      <x:c r="D152" s="9" t="n">
        <x:v>0.9941348973607038</x:v>
      </x:c>
      <x:c r="E152" s="9" t="n">
        <x:v>0.9804838546735073</x:v>
      </x:c>
      <x:c r="F152" s="9" t="n">
        <x:v>0.975846965046863</x:v>
      </x:c>
      <x:c r="G152" s="10" t="n">
        <x:f>D152-SUMIFS(D$5:D$304,$A$5:$A$304,$A152,$B$5:$B$304,$B152,$C$5:$C$304,"双分支固定")</x:f>
        <x:v>0</x:v>
      </x:c>
      <x:c r="H152" s="10" t="n">
        <x:f>E152-SUMIFS(E$5:E$304,$A$5:$A$304,$A152,$B$5:$B$304,$B152,$C$5:$C$304,"双分支固定")</x:f>
        <x:v>-0.00004474694578526783</x:v>
      </x:c>
      <x:c r="I152" s="10" t="n">
        <x:f>F152-SUMIFS(F$5:F$304,$A$5:$A$304,$A152,$B$5:$B$304,$B152,$C$5:$C$304,"双分支固定")</x:f>
        <x:v>-0.000012805170882645989</x:v>
      </x:c>
    </x:row>
    <x:row r="153" ht="22" customHeight="1">
      <x:c r="A153" s="2" t="str">
        <x:v>metal_nut</x:v>
      </x:c>
      <x:c r="B153" s="2" t="n">
        <x:v>2</x:v>
      </x:c>
      <x:c r="C153" s="2" t="str">
        <x:v>双分支固定</x:v>
      </x:c>
      <x:c r="D153" s="9" t="n">
        <x:v>0.9931573802541545</x:v>
      </x:c>
      <x:c r="E153" s="9" t="n">
        <x:v>0.9801623993761347</x:v>
      </x:c>
      <x:c r="F153" s="9" t="n">
        <x:v>0.9754154421110499</x:v>
      </x:c>
      <x:c r="G153" s="10" t="n">
        <x:f>D153-SUMIFS(D$5:D$304,$A$5:$A$304,$A153,$B$5:$B$304,$B153,$C$5:$C$304,"双分支固定")</x:f>
        <x:v>0</x:v>
      </x:c>
      <x:c r="H153" s="10" t="n">
        <x:f>E153-SUMIFS(E$5:E$304,$A$5:$A$304,$A153,$B$5:$B$304,$B153,$C$5:$C$304,"双分支固定")</x:f>
        <x:v>0</x:v>
      </x:c>
      <x:c r="I153" s="10" t="n">
        <x:f>F153-SUMIFS(F$5:F$304,$A$5:$A$304,$A153,$B$5:$B$304,$B153,$C$5:$C$304,"双分支固定")</x:f>
        <x:v>0</x:v>
      </x:c>
    </x:row>
    <x:row r="154" ht="22" customHeight="1">
      <x:c r="A154" s="2" t="str">
        <x:v>metal_nut</x:v>
      </x:c>
      <x:c r="B154" s="2" t="n">
        <x:v>2</x:v>
      </x:c>
      <x:c r="C154" s="2" t="str">
        <x:v>门控加收缩</x:v>
      </x:c>
      <x:c r="D154" s="9" t="n">
        <x:v>0.9931573802541545</x:v>
      </x:c>
      <x:c r="E154" s="9" t="n">
        <x:v>0.9801623993761347</x:v>
      </x:c>
      <x:c r="F154" s="9" t="n">
        <x:v>0.9754154421110499</x:v>
      </x:c>
      <x:c r="G154" s="10" t="n">
        <x:f>D154-SUMIFS(D$5:D$304,$A$5:$A$304,$A154,$B$5:$B$304,$B154,$C$5:$C$304,"双分支固定")</x:f>
        <x:v>0</x:v>
      </x:c>
      <x:c r="H154" s="10" t="n">
        <x:f>E154-SUMIFS(E$5:E$304,$A$5:$A$304,$A154,$B$5:$B$304,$B154,$C$5:$C$304,"双分支固定")</x:f>
        <x:v>0</x:v>
      </x:c>
      <x:c r="I154" s="10" t="n">
        <x:f>F154-SUMIFS(F$5:F$304,$A$5:$A$304,$A154,$B$5:$B$304,$B154,$C$5:$C$304,"双分支固定")</x:f>
        <x:v>0</x:v>
      </x:c>
    </x:row>
    <x:row r="155" ht="22" customHeight="1">
      <x:c r="A155" s="2" t="str">
        <x:v>metal_nut</x:v>
      </x:c>
      <x:c r="B155" s="2" t="n">
        <x:v>2</x:v>
      </x:c>
      <x:c r="C155" s="2" t="str">
        <x:v>像素敏感性</x:v>
      </x:c>
      <x:c r="D155" s="9" t="n">
        <x:v>0.9931573802541545</x:v>
      </x:c>
      <x:c r="E155" s="9" t="n">
        <x:v>0.9740262654820896</x:v>
      </x:c>
      <x:c r="F155" s="9" t="n">
        <x:v>0.9691468957545638</x:v>
      </x:c>
      <x:c r="G155" s="10" t="n">
        <x:f>D155-SUMIFS(D$5:D$304,$A$5:$A$304,$A155,$B$5:$B$304,$B155,$C$5:$C$304,"双分支固定")</x:f>
        <x:v>0</x:v>
      </x:c>
      <x:c r="H155" s="10" t="n">
        <x:f>E155-SUMIFS(E$5:E$304,$A$5:$A$304,$A155,$B$5:$B$304,$B155,$C$5:$C$304,"双分支固定")</x:f>
        <x:v>-0.006136133894045104</x:v>
      </x:c>
      <x:c r="I155" s="10" t="n">
        <x:f>F155-SUMIFS(F$5:F$304,$A$5:$A$304,$A155,$B$5:$B$304,$B155,$C$5:$C$304,"双分支固定")</x:f>
        <x:v>-0.006268546356486104</x:v>
      </x:c>
    </x:row>
    <x:row r="156" ht="22" customHeight="1">
      <x:c r="A156" s="2" t="str">
        <x:v>metal_nut</x:v>
      </x:c>
      <x:c r="B156" s="2" t="n">
        <x:v>2</x:v>
      </x:c>
      <x:c r="C156" s="2" t="str">
        <x:v>收缩0.25</x:v>
      </x:c>
      <x:c r="D156" s="9" t="n">
        <x:v>0.9931573802541545</x:v>
      </x:c>
      <x:c r="E156" s="9" t="n">
        <x:v>0.9796163852621982</x:v>
      </x:c>
      <x:c r="F156" s="9" t="n">
        <x:v>0.9748954781066244</x:v>
      </x:c>
      <x:c r="G156" s="10" t="n">
        <x:f>D156-SUMIFS(D$5:D$304,$A$5:$A$304,$A156,$B$5:$B$304,$B156,$C$5:$C$304,"双分支固定")</x:f>
        <x:v>0</x:v>
      </x:c>
      <x:c r="H156" s="10" t="n">
        <x:f>E156-SUMIFS(E$5:E$304,$A$5:$A$304,$A156,$B$5:$B$304,$B156,$C$5:$C$304,"双分支固定")</x:f>
        <x:v>-0.0005460141139365104</x:v>
      </x:c>
      <x:c r="I156" s="10" t="n">
        <x:f>F156-SUMIFS(F$5:F$304,$A$5:$A$304,$A156,$B$5:$B$304,$B156,$C$5:$C$304,"双分支固定")</x:f>
        <x:v>-0.0005199640044255549</x:v>
      </x:c>
    </x:row>
    <x:row r="157" ht="22" customHeight="1">
      <x:c r="A157" s="2" t="str">
        <x:v>metal_nut</x:v>
      </x:c>
      <x:c r="B157" s="2" t="n">
        <x:v>3</x:v>
      </x:c>
      <x:c r="C157" s="2" t="str">
        <x:v>双分支固定</x:v>
      </x:c>
      <x:c r="D157" s="9" t="n">
        <x:v>0.9941348973607038</x:v>
      </x:c>
      <x:c r="E157" s="9" t="n">
        <x:v>0.9802522051668998</x:v>
      </x:c>
      <x:c r="F157" s="9" t="n">
        <x:v>0.975662894500172</x:v>
      </x:c>
      <x:c r="G157" s="10" t="n">
        <x:f>D157-SUMIFS(D$5:D$304,$A$5:$A$304,$A157,$B$5:$B$304,$B157,$C$5:$C$304,"双分支固定")</x:f>
        <x:v>0</x:v>
      </x:c>
      <x:c r="H157" s="10" t="n">
        <x:f>E157-SUMIFS(E$5:E$304,$A$5:$A$304,$A157,$B$5:$B$304,$B157,$C$5:$C$304,"双分支固定")</x:f>
        <x:v>0</x:v>
      </x:c>
      <x:c r="I157" s="10" t="n">
        <x:f>F157-SUMIFS(F$5:F$304,$A$5:$A$304,$A157,$B$5:$B$304,$B157,$C$5:$C$304,"双分支固定")</x:f>
        <x:v>0</x:v>
      </x:c>
    </x:row>
    <x:row r="158" ht="22" customHeight="1">
      <x:c r="A158" s="2" t="str">
        <x:v>metal_nut</x:v>
      </x:c>
      <x:c r="B158" s="2" t="n">
        <x:v>3</x:v>
      </x:c>
      <x:c r="C158" s="2" t="str">
        <x:v>门控加收缩</x:v>
      </x:c>
      <x:c r="D158" s="9" t="n">
        <x:v>0.9941348973607038</x:v>
      </x:c>
      <x:c r="E158" s="9" t="n">
        <x:v>0.9802391276900153</x:v>
      </x:c>
      <x:c r="F158" s="9" t="n">
        <x:v>0.9756762437886213</x:v>
      </x:c>
      <x:c r="G158" s="10" t="n">
        <x:f>D158-SUMIFS(D$5:D$304,$A$5:$A$304,$A158,$B$5:$B$304,$B158,$C$5:$C$304,"双分支固定")</x:f>
        <x:v>0</x:v>
      </x:c>
      <x:c r="H158" s="10" t="n">
        <x:f>E158-SUMIFS(E$5:E$304,$A$5:$A$304,$A158,$B$5:$B$304,$B158,$C$5:$C$304,"双分支固定")</x:f>
        <x:v>-0.000013077476884504335</x:v>
      </x:c>
      <x:c r="I158" s="10" t="n">
        <x:f>F158-SUMIFS(F$5:F$304,$A$5:$A$304,$A158,$B$5:$B$304,$B158,$C$5:$C$304,"双分支固定")</x:f>
        <x:v>0.000013349288449315821</x:v>
      </x:c>
    </x:row>
    <x:row r="159" ht="22" customHeight="1">
      <x:c r="A159" s="2" t="str">
        <x:v>metal_nut</x:v>
      </x:c>
      <x:c r="B159" s="2" t="n">
        <x:v>3</x:v>
      </x:c>
      <x:c r="C159" s="2" t="str">
        <x:v>像素敏感性</x:v>
      </x:c>
      <x:c r="D159" s="9" t="n">
        <x:v>0.9941348973607038</x:v>
      </x:c>
      <x:c r="E159" s="9" t="n">
        <x:v>0.9795325567244856</x:v>
      </x:c>
      <x:c r="F159" s="9" t="n">
        <x:v>0.9749768963174619</x:v>
      </x:c>
      <x:c r="G159" s="10" t="n">
        <x:f>D159-SUMIFS(D$5:D$304,$A$5:$A$304,$A159,$B$5:$B$304,$B159,$C$5:$C$304,"双分支固定")</x:f>
        <x:v>0</x:v>
      </x:c>
      <x:c r="H159" s="10" t="n">
        <x:f>E159-SUMIFS(E$5:E$304,$A$5:$A$304,$A159,$B$5:$B$304,$B159,$C$5:$C$304,"双分支固定")</x:f>
        <x:v>-0.0007196484424142335</x:v>
      </x:c>
      <x:c r="I159" s="10" t="n">
        <x:f>F159-SUMIFS(F$5:F$304,$A$5:$A$304,$A159,$B$5:$B$304,$B159,$C$5:$C$304,"双分支固定")</x:f>
        <x:v>-0.0006859981827100903</x:v>
      </x:c>
    </x:row>
    <x:row r="160" ht="22" customHeight="1">
      <x:c r="A160" s="2" t="str">
        <x:v>metal_nut</x:v>
      </x:c>
      <x:c r="B160" s="2" t="n">
        <x:v>3</x:v>
      </x:c>
      <x:c r="C160" s="2" t="str">
        <x:v>收缩0.25</x:v>
      </x:c>
      <x:c r="D160" s="9" t="n">
        <x:v>0.9941348973607038</x:v>
      </x:c>
      <x:c r="E160" s="9" t="n">
        <x:v>0.9802391276900153</x:v>
      </x:c>
      <x:c r="F160" s="9" t="n">
        <x:v>0.9756762437886213</x:v>
      </x:c>
      <x:c r="G160" s="10" t="n">
        <x:f>D160-SUMIFS(D$5:D$304,$A$5:$A$304,$A160,$B$5:$B$304,$B160,$C$5:$C$304,"双分支固定")</x:f>
        <x:v>0</x:v>
      </x:c>
      <x:c r="H160" s="10" t="n">
        <x:f>E160-SUMIFS(E$5:E$304,$A$5:$A$304,$A160,$B$5:$B$304,$B160,$C$5:$C$304,"双分支固定")</x:f>
        <x:v>-0.000013077476884504335</x:v>
      </x:c>
      <x:c r="I160" s="10" t="n">
        <x:f>F160-SUMIFS(F$5:F$304,$A$5:$A$304,$A160,$B$5:$B$304,$B160,$C$5:$C$304,"双分支固定")</x:f>
        <x:v>0.000013349288449315821</x:v>
      </x:c>
    </x:row>
    <x:row r="161" ht="22" customHeight="1">
      <x:c r="A161" s="2" t="str">
        <x:v>metal_nut</x:v>
      </x:c>
      <x:c r="B161" s="2" t="n">
        <x:v>4</x:v>
      </x:c>
      <x:c r="C161" s="2" t="str">
        <x:v>双分支固定</x:v>
      </x:c>
      <x:c r="D161" s="9" t="n">
        <x:v>0.9970674486803519</x:v>
      </x:c>
      <x:c r="E161" s="9" t="n">
        <x:v>0.9814634667309695</x:v>
      </x:c>
      <x:c r="F161" s="9" t="n">
        <x:v>0.9768949753905458</x:v>
      </x:c>
      <x:c r="G161" s="10" t="n">
        <x:f>D161-SUMIFS(D$5:D$304,$A$5:$A$304,$A161,$B$5:$B$304,$B161,$C$5:$C$304,"双分支固定")</x:f>
        <x:v>0</x:v>
      </x:c>
      <x:c r="H161" s="10" t="n">
        <x:f>E161-SUMIFS(E$5:E$304,$A$5:$A$304,$A161,$B$5:$B$304,$B161,$C$5:$C$304,"双分支固定")</x:f>
        <x:v>0</x:v>
      </x:c>
      <x:c r="I161" s="10" t="n">
        <x:f>F161-SUMIFS(F$5:F$304,$A$5:$A$304,$A161,$B$5:$B$304,$B161,$C$5:$C$304,"双分支固定")</x:f>
        <x:v>0</x:v>
      </x:c>
    </x:row>
    <x:row r="162" ht="22" customHeight="1">
      <x:c r="A162" s="2" t="str">
        <x:v>metal_nut</x:v>
      </x:c>
      <x:c r="B162" s="2" t="n">
        <x:v>4</x:v>
      </x:c>
      <x:c r="C162" s="2" t="str">
        <x:v>门控加收缩</x:v>
      </x:c>
      <x:c r="D162" s="9" t="n">
        <x:v>0.9970674486803519</x:v>
      </x:c>
      <x:c r="E162" s="9" t="n">
        <x:v>0.9816218147303435</x:v>
      </x:c>
      <x:c r="F162" s="9" t="n">
        <x:v>0.9771266153219325</x:v>
      </x:c>
      <x:c r="G162" s="10" t="n">
        <x:f>D162-SUMIFS(D$5:D$304,$A$5:$A$304,$A162,$B$5:$B$304,$B162,$C$5:$C$304,"双分支固定")</x:f>
        <x:v>0</x:v>
      </x:c>
      <x:c r="H162" s="10" t="n">
        <x:f>E162-SUMIFS(E$5:E$304,$A$5:$A$304,$A162,$B$5:$B$304,$B162,$C$5:$C$304,"双分支固定")</x:f>
        <x:v>0.0001583479993739756</x:v>
      </x:c>
      <x:c r="I162" s="10" t="n">
        <x:f>F162-SUMIFS(F$5:F$304,$A$5:$A$304,$A162,$B$5:$B$304,$B162,$C$5:$C$304,"双分支固定")</x:f>
        <x:v>0.00023163993138664019</x:v>
      </x:c>
    </x:row>
    <x:row r="163" ht="22" customHeight="1">
      <x:c r="A163" s="2" t="str">
        <x:v>metal_nut</x:v>
      </x:c>
      <x:c r="B163" s="2" t="n">
        <x:v>4</x:v>
      </x:c>
      <x:c r="C163" s="2" t="str">
        <x:v>像素敏感性</x:v>
      </x:c>
      <x:c r="D163" s="9" t="n">
        <x:v>0.9970674486803519</x:v>
      </x:c>
      <x:c r="E163" s="9" t="n">
        <x:v>0.9807164208813557</x:v>
      </x:c>
      <x:c r="F163" s="9" t="n">
        <x:v>0.9762621190743499</x:v>
      </x:c>
      <x:c r="G163" s="10" t="n">
        <x:f>D163-SUMIFS(D$5:D$304,$A$5:$A$304,$A163,$B$5:$B$304,$B163,$C$5:$C$304,"双分支固定")</x:f>
        <x:v>0</x:v>
      </x:c>
      <x:c r="H163" s="10" t="n">
        <x:f>E163-SUMIFS(E$5:E$304,$A$5:$A$304,$A163,$B$5:$B$304,$B163,$C$5:$C$304,"双分支固定")</x:f>
        <x:v>-0.0007470458496138255</x:v>
      </x:c>
      <x:c r="I163" s="10" t="n">
        <x:f>F163-SUMIFS(F$5:F$304,$A$5:$A$304,$A163,$B$5:$B$304,$B163,$C$5:$C$304,"双分支固定")</x:f>
        <x:v>-0.0006328563161959178</x:v>
      </x:c>
    </x:row>
    <x:row r="164" ht="22" customHeight="1">
      <x:c r="A164" s="2" t="str">
        <x:v>metal_nut</x:v>
      </x:c>
      <x:c r="B164" s="2" t="n">
        <x:v>4</x:v>
      </x:c>
      <x:c r="C164" s="2" t="str">
        <x:v>收缩0.25</x:v>
      </x:c>
      <x:c r="D164" s="9" t="n">
        <x:v>0.9970674486803519</x:v>
      </x:c>
      <x:c r="E164" s="9" t="n">
        <x:v>0.9816218147303435</x:v>
      </x:c>
      <x:c r="F164" s="9" t="n">
        <x:v>0.9771266153219325</x:v>
      </x:c>
      <x:c r="G164" s="10" t="n">
        <x:f>D164-SUMIFS(D$5:D$304,$A$5:$A$304,$A164,$B$5:$B$304,$B164,$C$5:$C$304,"双分支固定")</x:f>
        <x:v>0</x:v>
      </x:c>
      <x:c r="H164" s="10" t="n">
        <x:f>E164-SUMIFS(E$5:E$304,$A$5:$A$304,$A164,$B$5:$B$304,$B164,$C$5:$C$304,"双分支固定")</x:f>
        <x:v>0.0001583479993739756</x:v>
      </x:c>
      <x:c r="I164" s="10" t="n">
        <x:f>F164-SUMIFS(F$5:F$304,$A$5:$A$304,$A164,$B$5:$B$304,$B164,$C$5:$C$304,"双分支固定")</x:f>
        <x:v>0.00023163993138664019</x:v>
      </x:c>
    </x:row>
    <x:row r="165" ht="22" customHeight="1">
      <x:c r="A165" s="2" t="str">
        <x:v>pill</x:v>
      </x:c>
      <x:c r="B165" s="2" t="n">
        <x:v>0</x:v>
      </x:c>
      <x:c r="C165" s="2" t="str">
        <x:v>双分支固定</x:v>
      </x:c>
      <x:c r="D165" s="9" t="n">
        <x:v>0.9623567921440261</x:v>
      </x:c>
      <x:c r="E165" s="9" t="n">
        <x:v>0.9781482849291173</x:v>
      </x:c>
      <x:c r="F165" s="9" t="n">
        <x:v>0.9763138131773915</x:v>
      </x:c>
      <x:c r="G165" s="10" t="n">
        <x:f>D165-SUMIFS(D$5:D$304,$A$5:$A$304,$A165,$B$5:$B$304,$B165,$C$5:$C$304,"双分支固定")</x:f>
        <x:v>0</x:v>
      </x:c>
      <x:c r="H165" s="10" t="n">
        <x:f>E165-SUMIFS(E$5:E$304,$A$5:$A$304,$A165,$B$5:$B$304,$B165,$C$5:$C$304,"双分支固定")</x:f>
        <x:v>0</x:v>
      </x:c>
      <x:c r="I165" s="10" t="n">
        <x:f>F165-SUMIFS(F$5:F$304,$A$5:$A$304,$A165,$B$5:$B$304,$B165,$C$5:$C$304,"双分支固定")</x:f>
        <x:v>0</x:v>
      </x:c>
    </x:row>
    <x:row r="166" ht="22" customHeight="1">
      <x:c r="A166" s="2" t="str">
        <x:v>pill</x:v>
      </x:c>
      <x:c r="B166" s="2" t="n">
        <x:v>0</x:v>
      </x:c>
      <x:c r="C166" s="2" t="str">
        <x:v>门控加收缩</x:v>
      </x:c>
      <x:c r="D166" s="9" t="n">
        <x:v>0.9623567921440261</x:v>
      </x:c>
      <x:c r="E166" s="9" t="n">
        <x:v>0.9781482849291173</x:v>
      </x:c>
      <x:c r="F166" s="9" t="n">
        <x:v>0.9763138131773915</x:v>
      </x:c>
      <x:c r="G166" s="10" t="n">
        <x:f>D166-SUMIFS(D$5:D$304,$A$5:$A$304,$A166,$B$5:$B$304,$B166,$C$5:$C$304,"双分支固定")</x:f>
        <x:v>0</x:v>
      </x:c>
      <x:c r="H166" s="10" t="n">
        <x:f>E166-SUMIFS(E$5:E$304,$A$5:$A$304,$A166,$B$5:$B$304,$B166,$C$5:$C$304,"双分支固定")</x:f>
        <x:v>0</x:v>
      </x:c>
      <x:c r="I166" s="10" t="n">
        <x:f>F166-SUMIFS(F$5:F$304,$A$5:$A$304,$A166,$B$5:$B$304,$B166,$C$5:$C$304,"双分支固定")</x:f>
        <x:v>0</x:v>
      </x:c>
    </x:row>
    <x:row r="167" ht="22" customHeight="1">
      <x:c r="A167" s="2" t="str">
        <x:v>pill</x:v>
      </x:c>
      <x:c r="B167" s="2" t="n">
        <x:v>0</x:v>
      </x:c>
      <x:c r="C167" s="2" t="str">
        <x:v>像素敏感性</x:v>
      </x:c>
      <x:c r="D167" s="9" t="n">
        <x:v>0.9623567921440261</x:v>
      </x:c>
      <x:c r="E167" s="9" t="n">
        <x:v>0.9748795729695793</x:v>
      </x:c>
      <x:c r="F167" s="9" t="n">
        <x:v>0.97299378096659</x:v>
      </x:c>
      <x:c r="G167" s="10" t="n">
        <x:f>D167-SUMIFS(D$5:D$304,$A$5:$A$304,$A167,$B$5:$B$304,$B167,$C$5:$C$304,"双分支固定")</x:f>
        <x:v>0</x:v>
      </x:c>
      <x:c r="H167" s="10" t="n">
        <x:f>E167-SUMIFS(E$5:E$304,$A$5:$A$304,$A167,$B$5:$B$304,$B167,$C$5:$C$304,"双分支固定")</x:f>
        <x:v>-0.00326871195953804</x:v>
      </x:c>
      <x:c r="I167" s="10" t="n">
        <x:f>F167-SUMIFS(F$5:F$304,$A$5:$A$304,$A167,$B$5:$B$304,$B167,$C$5:$C$304,"双分支固定")</x:f>
        <x:v>-0.003320032210801571</x:v>
      </x:c>
    </x:row>
    <x:row r="168" ht="22" customHeight="1">
      <x:c r="A168" s="2" t="str">
        <x:v>pill</x:v>
      </x:c>
      <x:c r="B168" s="2" t="n">
        <x:v>0</x:v>
      </x:c>
      <x:c r="C168" s="2" t="str">
        <x:v>收缩0.25</x:v>
      </x:c>
      <x:c r="D168" s="9" t="n">
        <x:v>0.9623567921440261</x:v>
      </x:c>
      <x:c r="E168" s="9" t="n">
        <x:v>0.9776071162611201</x:v>
      </x:c>
      <x:c r="F168" s="9" t="n">
        <x:v>0.9757681431508544</x:v>
      </x:c>
      <x:c r="G168" s="10" t="n">
        <x:f>D168-SUMIFS(D$5:D$304,$A$5:$A$304,$A168,$B$5:$B$304,$B168,$C$5:$C$304,"双分支固定")</x:f>
        <x:v>0</x:v>
      </x:c>
      <x:c r="H168" s="10" t="n">
        <x:f>E168-SUMIFS(E$5:E$304,$A$5:$A$304,$A168,$B$5:$B$304,$B168,$C$5:$C$304,"双分支固定")</x:f>
        <x:v>-0.0005411686679972494</x:v>
      </x:c>
      <x:c r="I168" s="10" t="n">
        <x:f>F168-SUMIFS(F$5:F$304,$A$5:$A$304,$A168,$B$5:$B$304,$B168,$C$5:$C$304,"双分支固定")</x:f>
        <x:v>-0.0005456700265371595</x:v>
      </x:c>
    </x:row>
    <x:row r="169" ht="22" customHeight="1">
      <x:c r="A169" s="2" t="str">
        <x:v>pill</x:v>
      </x:c>
      <x:c r="B169" s="2" t="n">
        <x:v>1</x:v>
      </x:c>
      <x:c r="C169" s="2" t="str">
        <x:v>双分支固定</x:v>
      </x:c>
      <x:c r="D169" s="9" t="n">
        <x:v>0.9746317512274959</x:v>
      </x:c>
      <x:c r="E169" s="9" t="n">
        <x:v>0.9799072749174228</x:v>
      </x:c>
      <x:c r="F169" s="9" t="n">
        <x:v>0.978135872560479</x:v>
      </x:c>
      <x:c r="G169" s="10" t="n">
        <x:f>D169-SUMIFS(D$5:D$304,$A$5:$A$304,$A169,$B$5:$B$304,$B169,$C$5:$C$304,"双分支固定")</x:f>
        <x:v>0</x:v>
      </x:c>
      <x:c r="H169" s="10" t="n">
        <x:f>E169-SUMIFS(E$5:E$304,$A$5:$A$304,$A169,$B$5:$B$304,$B169,$C$5:$C$304,"双分支固定")</x:f>
        <x:v>0</x:v>
      </x:c>
      <x:c r="I169" s="10" t="n">
        <x:f>F169-SUMIFS(F$5:F$304,$A$5:$A$304,$A169,$B$5:$B$304,$B169,$C$5:$C$304,"双分支固定")</x:f>
        <x:v>0</x:v>
      </x:c>
    </x:row>
    <x:row r="170" ht="22" customHeight="1">
      <x:c r="A170" s="2" t="str">
        <x:v>pill</x:v>
      </x:c>
      <x:c r="B170" s="2" t="n">
        <x:v>1</x:v>
      </x:c>
      <x:c r="C170" s="2" t="str">
        <x:v>门控加收缩</x:v>
      </x:c>
      <x:c r="D170" s="9" t="n">
        <x:v>0.9746317512274959</x:v>
      </x:c>
      <x:c r="E170" s="9" t="n">
        <x:v>0.979090279349994</x:v>
      </x:c>
      <x:c r="F170" s="9" t="n">
        <x:v>0.9773073295616741</x:v>
      </x:c>
      <x:c r="G170" s="10" t="n">
        <x:f>D170-SUMIFS(D$5:D$304,$A$5:$A$304,$A170,$B$5:$B$304,$B170,$C$5:$C$304,"双分支固定")</x:f>
        <x:v>0</x:v>
      </x:c>
      <x:c r="H170" s="10" t="n">
        <x:f>E170-SUMIFS(E$5:E$304,$A$5:$A$304,$A170,$B$5:$B$304,$B170,$C$5:$C$304,"双分支固定")</x:f>
        <x:v>-0.0008169955674287577</x:v>
      </x:c>
      <x:c r="I170" s="10" t="n">
        <x:f>F170-SUMIFS(F$5:F$304,$A$5:$A$304,$A170,$B$5:$B$304,$B170,$C$5:$C$304,"双分支固定")</x:f>
        <x:v>-0.0008285429988048598</x:v>
      </x:c>
    </x:row>
    <x:row r="171" ht="22" customHeight="1">
      <x:c r="A171" s="2" t="str">
        <x:v>pill</x:v>
      </x:c>
      <x:c r="B171" s="2" t="n">
        <x:v>1</x:v>
      </x:c>
      <x:c r="C171" s="2" t="str">
        <x:v>像素敏感性</x:v>
      </x:c>
      <x:c r="D171" s="9" t="n">
        <x:v>0.9746317512274959</x:v>
      </x:c>
      <x:c r="E171" s="9" t="n">
        <x:v>0.9750352685908545</x:v>
      </x:c>
      <x:c r="F171" s="9" t="n">
        <x:v>0.9731589791904882</x:v>
      </x:c>
      <x:c r="G171" s="10" t="n">
        <x:f>D171-SUMIFS(D$5:D$304,$A$5:$A$304,$A171,$B$5:$B$304,$B171,$C$5:$C$304,"双分支固定")</x:f>
        <x:v>0</x:v>
      </x:c>
      <x:c r="H171" s="10" t="n">
        <x:f>E171-SUMIFS(E$5:E$304,$A$5:$A$304,$A171,$B$5:$B$304,$B171,$C$5:$C$304,"双分支固定")</x:f>
        <x:v>-0.004872006326568257</x:v>
      </x:c>
      <x:c r="I171" s="10" t="n">
        <x:f>F171-SUMIFS(F$5:F$304,$A$5:$A$304,$A171,$B$5:$B$304,$B171,$C$5:$C$304,"双分支固定")</x:f>
        <x:v>-0.0049768933699907425</x:v>
      </x:c>
    </x:row>
    <x:row r="172" ht="22" customHeight="1">
      <x:c r="A172" s="2" t="str">
        <x:v>pill</x:v>
      </x:c>
      <x:c r="B172" s="2" t="n">
        <x:v>1</x:v>
      </x:c>
      <x:c r="C172" s="2" t="str">
        <x:v>收缩0.25</x:v>
      </x:c>
      <x:c r="D172" s="9" t="n">
        <x:v>0.9746317512274959</x:v>
      </x:c>
      <x:c r="E172" s="9" t="n">
        <x:v>0.979090279349994</x:v>
      </x:c>
      <x:c r="F172" s="9" t="n">
        <x:v>0.9773073295616741</x:v>
      </x:c>
      <x:c r="G172" s="10" t="n">
        <x:f>D172-SUMIFS(D$5:D$304,$A$5:$A$304,$A172,$B$5:$B$304,$B172,$C$5:$C$304,"双分支固定")</x:f>
        <x:v>0</x:v>
      </x:c>
      <x:c r="H172" s="10" t="n">
        <x:f>E172-SUMIFS(E$5:E$304,$A$5:$A$304,$A172,$B$5:$B$304,$B172,$C$5:$C$304,"双分支固定")</x:f>
        <x:v>-0.0008169955674287577</x:v>
      </x:c>
      <x:c r="I172" s="10" t="n">
        <x:f>F172-SUMIFS(F$5:F$304,$A$5:$A$304,$A172,$B$5:$B$304,$B172,$C$5:$C$304,"双分支固定")</x:f>
        <x:v>-0.0008285429988048598</x:v>
      </x:c>
    </x:row>
    <x:row r="173" ht="22" customHeight="1">
      <x:c r="A173" s="2" t="str">
        <x:v>pill</x:v>
      </x:c>
      <x:c r="B173" s="2" t="n">
        <x:v>2</x:v>
      </x:c>
      <x:c r="C173" s="2" t="str">
        <x:v>双分支固定</x:v>
      </x:c>
      <x:c r="D173" s="9" t="n">
        <x:v>0.9656301145662848</x:v>
      </x:c>
      <x:c r="E173" s="9" t="n">
        <x:v>0.9766014376838648</x:v>
      </x:c>
      <x:c r="F173" s="9" t="n">
        <x:v>0.9748188145932333</x:v>
      </x:c>
      <x:c r="G173" s="10" t="n">
        <x:f>D173-SUMIFS(D$5:D$304,$A$5:$A$304,$A173,$B$5:$B$304,$B173,$C$5:$C$304,"双分支固定")</x:f>
        <x:v>0</x:v>
      </x:c>
      <x:c r="H173" s="10" t="n">
        <x:f>E173-SUMIFS(E$5:E$304,$A$5:$A$304,$A173,$B$5:$B$304,$B173,$C$5:$C$304,"双分支固定")</x:f>
        <x:v>0</x:v>
      </x:c>
      <x:c r="I173" s="10" t="n">
        <x:f>F173-SUMIFS(F$5:F$304,$A$5:$A$304,$A173,$B$5:$B$304,$B173,$C$5:$C$304,"双分支固定")</x:f>
        <x:v>0</x:v>
      </x:c>
    </x:row>
    <x:row r="174" ht="22" customHeight="1">
      <x:c r="A174" s="2" t="str">
        <x:v>pill</x:v>
      </x:c>
      <x:c r="B174" s="2" t="n">
        <x:v>2</x:v>
      </x:c>
      <x:c r="C174" s="2" t="str">
        <x:v>门控加收缩</x:v>
      </x:c>
      <x:c r="D174" s="9" t="n">
        <x:v>0.9656301145662848</x:v>
      </x:c>
      <x:c r="E174" s="9" t="n">
        <x:v>0.976017379384404</x:v>
      </x:c>
      <x:c r="F174" s="9" t="n">
        <x:v>0.9742380924361875</x:v>
      </x:c>
      <x:c r="G174" s="10" t="n">
        <x:f>D174-SUMIFS(D$5:D$304,$A$5:$A$304,$A174,$B$5:$B$304,$B174,$C$5:$C$304,"双分支固定")</x:f>
        <x:v>0</x:v>
      </x:c>
      <x:c r="H174" s="10" t="n">
        <x:f>E174-SUMIFS(E$5:E$304,$A$5:$A$304,$A174,$B$5:$B$304,$B174,$C$5:$C$304,"双分支固定")</x:f>
        <x:v>-0.0005840582994607324</x:v>
      </x:c>
      <x:c r="I174" s="10" t="n">
        <x:f>F174-SUMIFS(F$5:F$304,$A$5:$A$304,$A174,$B$5:$B$304,$B174,$C$5:$C$304,"双分支固定")</x:f>
        <x:v>-0.0005807221570457433</x:v>
      </x:c>
    </x:row>
    <x:row r="175" ht="22" customHeight="1">
      <x:c r="A175" s="2" t="str">
        <x:v>pill</x:v>
      </x:c>
      <x:c r="B175" s="2" t="n">
        <x:v>2</x:v>
      </x:c>
      <x:c r="C175" s="2" t="str">
        <x:v>像素敏感性</x:v>
      </x:c>
      <x:c r="D175" s="9" t="n">
        <x:v>0.9656301145662848</x:v>
      </x:c>
      <x:c r="E175" s="9" t="n">
        <x:v>0.973191991072208</x:v>
      </x:c>
      <x:c r="F175" s="9" t="n">
        <x:v>0.9713719146677416</x:v>
      </x:c>
      <x:c r="G175" s="10" t="n">
        <x:f>D175-SUMIFS(D$5:D$304,$A$5:$A$304,$A175,$B$5:$B$304,$B175,$C$5:$C$304,"双分支固定")</x:f>
        <x:v>0</x:v>
      </x:c>
      <x:c r="H175" s="10" t="n">
        <x:f>E175-SUMIFS(E$5:E$304,$A$5:$A$304,$A175,$B$5:$B$304,$B175,$C$5:$C$304,"双分支固定")</x:f>
        <x:v>-0.0034094466116567634</x:v>
      </x:c>
      <x:c r="I175" s="10" t="n">
        <x:f>F175-SUMIFS(F$5:F$304,$A$5:$A$304,$A175,$B$5:$B$304,$B175,$C$5:$C$304,"双分支固定")</x:f>
        <x:v>-0.003446899925491631</x:v>
      </x:c>
    </x:row>
    <x:row r="176" ht="22" customHeight="1">
      <x:c r="A176" s="2" t="str">
        <x:v>pill</x:v>
      </x:c>
      <x:c r="B176" s="2" t="n">
        <x:v>2</x:v>
      </x:c>
      <x:c r="C176" s="2" t="str">
        <x:v>收缩0.25</x:v>
      </x:c>
      <x:c r="D176" s="9" t="n">
        <x:v>0.9656301145662848</x:v>
      </x:c>
      <x:c r="E176" s="9" t="n">
        <x:v>0.976017379384404</x:v>
      </x:c>
      <x:c r="F176" s="9" t="n">
        <x:v>0.9742380924361875</x:v>
      </x:c>
      <x:c r="G176" s="10" t="n">
        <x:f>D176-SUMIFS(D$5:D$304,$A$5:$A$304,$A176,$B$5:$B$304,$B176,$C$5:$C$304,"双分支固定")</x:f>
        <x:v>0</x:v>
      </x:c>
      <x:c r="H176" s="10" t="n">
        <x:f>E176-SUMIFS(E$5:E$304,$A$5:$A$304,$A176,$B$5:$B$304,$B176,$C$5:$C$304,"双分支固定")</x:f>
        <x:v>-0.0005840582994607324</x:v>
      </x:c>
      <x:c r="I176" s="10" t="n">
        <x:f>F176-SUMIFS(F$5:F$304,$A$5:$A$304,$A176,$B$5:$B$304,$B176,$C$5:$C$304,"双分支固定")</x:f>
        <x:v>-0.0005807221570457433</x:v>
      </x:c>
    </x:row>
    <x:row r="177" ht="22" customHeight="1">
      <x:c r="A177" s="2" t="str">
        <x:v>pill</x:v>
      </x:c>
      <x:c r="B177" s="2" t="n">
        <x:v>3</x:v>
      </x:c>
      <x:c r="C177" s="2" t="str">
        <x:v>双分支固定</x:v>
      </x:c>
      <x:c r="D177" s="9" t="n">
        <x:v>0.9705400981996727</x:v>
      </x:c>
      <x:c r="E177" s="9" t="n">
        <x:v>0.9756975298680763</x:v>
      </x:c>
      <x:c r="F177" s="9" t="n">
        <x:v>0.9738005139085311</x:v>
      </x:c>
      <x:c r="G177" s="10" t="n">
        <x:f>D177-SUMIFS(D$5:D$304,$A$5:$A$304,$A177,$B$5:$B$304,$B177,$C$5:$C$304,"双分支固定")</x:f>
        <x:v>0</x:v>
      </x:c>
      <x:c r="H177" s="10" t="n">
        <x:f>E177-SUMIFS(E$5:E$304,$A$5:$A$304,$A177,$B$5:$B$304,$B177,$C$5:$C$304,"双分支固定")</x:f>
        <x:v>0</x:v>
      </x:c>
      <x:c r="I177" s="10" t="n">
        <x:f>F177-SUMIFS(F$5:F$304,$A$5:$A$304,$A177,$B$5:$B$304,$B177,$C$5:$C$304,"双分支固定")</x:f>
        <x:v>0</x:v>
      </x:c>
    </x:row>
    <x:row r="178" ht="22" customHeight="1">
      <x:c r="A178" s="2" t="str">
        <x:v>pill</x:v>
      </x:c>
      <x:c r="B178" s="2" t="n">
        <x:v>3</x:v>
      </x:c>
      <x:c r="C178" s="2" t="str">
        <x:v>门控加收缩</x:v>
      </x:c>
      <x:c r="D178" s="9" t="n">
        <x:v>0.9705400981996727</x:v>
      </x:c>
      <x:c r="E178" s="9" t="n">
        <x:v>0.975292183332964</x:v>
      </x:c>
      <x:c r="F178" s="9" t="n">
        <x:v>0.9733914257466316</x:v>
      </x:c>
      <x:c r="G178" s="10" t="n">
        <x:f>D178-SUMIFS(D$5:D$304,$A$5:$A$304,$A178,$B$5:$B$304,$B178,$C$5:$C$304,"双分支固定")</x:f>
        <x:v>0</x:v>
      </x:c>
      <x:c r="H178" s="10" t="n">
        <x:f>E178-SUMIFS(E$5:E$304,$A$5:$A$304,$A178,$B$5:$B$304,$B178,$C$5:$C$304,"双分支固定")</x:f>
        <x:v>-0.00040534653511237195</x:v>
      </x:c>
      <x:c r="I178" s="10" t="n">
        <x:f>F178-SUMIFS(F$5:F$304,$A$5:$A$304,$A178,$B$5:$B$304,$B178,$C$5:$C$304,"双分支固定")</x:f>
        <x:v>-0.0004090881618994402</x:v>
      </x:c>
    </x:row>
    <x:row r="179" ht="22" customHeight="1">
      <x:c r="A179" s="2" t="str">
        <x:v>pill</x:v>
      </x:c>
      <x:c r="B179" s="2" t="n">
        <x:v>3</x:v>
      </x:c>
      <x:c r="C179" s="2" t="str">
        <x:v>像素敏感性</x:v>
      </x:c>
      <x:c r="D179" s="9" t="n">
        <x:v>0.9705400981996727</x:v>
      </x:c>
      <x:c r="E179" s="9" t="n">
        <x:v>0.9729604728201057</x:v>
      </x:c>
      <x:c r="F179" s="9" t="n">
        <x:v>0.9710095194916677</x:v>
      </x:c>
      <x:c r="G179" s="10" t="n">
        <x:f>D179-SUMIFS(D$5:D$304,$A$5:$A$304,$A179,$B$5:$B$304,$B179,$C$5:$C$304,"双分支固定")</x:f>
        <x:v>0</x:v>
      </x:c>
      <x:c r="H179" s="10" t="n">
        <x:f>E179-SUMIFS(E$5:E$304,$A$5:$A$304,$A179,$B$5:$B$304,$B179,$C$5:$C$304,"双分支固定")</x:f>
        <x:v>-0.00273705704797067</x:v>
      </x:c>
      <x:c r="I179" s="10" t="n">
        <x:f>F179-SUMIFS(F$5:F$304,$A$5:$A$304,$A179,$B$5:$B$304,$B179,$C$5:$C$304,"双分支固定")</x:f>
        <x:v>-0.0027909944168633682</x:v>
      </x:c>
    </x:row>
    <x:row r="180" ht="22" customHeight="1">
      <x:c r="A180" s="2" t="str">
        <x:v>pill</x:v>
      </x:c>
      <x:c r="B180" s="2" t="n">
        <x:v>3</x:v>
      </x:c>
      <x:c r="C180" s="2" t="str">
        <x:v>收缩0.25</x:v>
      </x:c>
      <x:c r="D180" s="9" t="n">
        <x:v>0.9705400981996727</x:v>
      </x:c>
      <x:c r="E180" s="9" t="n">
        <x:v>0.975292183332964</x:v>
      </x:c>
      <x:c r="F180" s="9" t="n">
        <x:v>0.9733914257466316</x:v>
      </x:c>
      <x:c r="G180" s="10" t="n">
        <x:f>D180-SUMIFS(D$5:D$304,$A$5:$A$304,$A180,$B$5:$B$304,$B180,$C$5:$C$304,"双分支固定")</x:f>
        <x:v>0</x:v>
      </x:c>
      <x:c r="H180" s="10" t="n">
        <x:f>E180-SUMIFS(E$5:E$304,$A$5:$A$304,$A180,$B$5:$B$304,$B180,$C$5:$C$304,"双分支固定")</x:f>
        <x:v>-0.00040534653511237195</x:v>
      </x:c>
      <x:c r="I180" s="10" t="n">
        <x:f>F180-SUMIFS(F$5:F$304,$A$5:$A$304,$A180,$B$5:$B$304,$B180,$C$5:$C$304,"双分支固定")</x:f>
        <x:v>-0.0004090881618994402</x:v>
      </x:c>
    </x:row>
    <x:row r="181" ht="22" customHeight="1">
      <x:c r="A181" s="2" t="str">
        <x:v>pill</x:v>
      </x:c>
      <x:c r="B181" s="2" t="n">
        <x:v>4</x:v>
      </x:c>
      <x:c r="C181" s="2" t="str">
        <x:v>双分支固定</x:v>
      </x:c>
      <x:c r="D181" s="9" t="n">
        <x:v>0.9738134206219312</x:v>
      </x:c>
      <x:c r="E181" s="9" t="n">
        <x:v>0.9772544658675828</x:v>
      </x:c>
      <x:c r="F181" s="9" t="n">
        <x:v>0.9754171194815822</x:v>
      </x:c>
      <x:c r="G181" s="10" t="n">
        <x:f>D181-SUMIFS(D$5:D$304,$A$5:$A$304,$A181,$B$5:$B$304,$B181,$C$5:$C$304,"双分支固定")</x:f>
        <x:v>0</x:v>
      </x:c>
      <x:c r="H181" s="10" t="n">
        <x:f>E181-SUMIFS(E$5:E$304,$A$5:$A$304,$A181,$B$5:$B$304,$B181,$C$5:$C$304,"双分支固定")</x:f>
        <x:v>0</x:v>
      </x:c>
      <x:c r="I181" s="10" t="n">
        <x:f>F181-SUMIFS(F$5:F$304,$A$5:$A$304,$A181,$B$5:$B$304,$B181,$C$5:$C$304,"双分支固定")</x:f>
        <x:v>0</x:v>
      </x:c>
    </x:row>
    <x:row r="182" ht="22" customHeight="1">
      <x:c r="A182" s="2" t="str">
        <x:v>pill</x:v>
      </x:c>
      <x:c r="B182" s="2" t="n">
        <x:v>4</x:v>
      </x:c>
      <x:c r="C182" s="2" t="str">
        <x:v>门控加收缩</x:v>
      </x:c>
      <x:c r="D182" s="9" t="n">
        <x:v>0.9738134206219312</x:v>
      </x:c>
      <x:c r="E182" s="9" t="n">
        <x:v>0.976910885908208</x:v>
      </x:c>
      <x:c r="F182" s="9" t="n">
        <x:v>0.9750799518218081</x:v>
      </x:c>
      <x:c r="G182" s="10" t="n">
        <x:f>D182-SUMIFS(D$5:D$304,$A$5:$A$304,$A182,$B$5:$B$304,$B182,$C$5:$C$304,"双分支固定")</x:f>
        <x:v>0</x:v>
      </x:c>
      <x:c r="H182" s="10" t="n">
        <x:f>E182-SUMIFS(E$5:E$304,$A$5:$A$304,$A182,$B$5:$B$304,$B182,$C$5:$C$304,"双分支固定")</x:f>
        <x:v>-0.0003435799593748401</x:v>
      </x:c>
      <x:c r="I182" s="10" t="n">
        <x:f>F182-SUMIFS(F$5:F$304,$A$5:$A$304,$A182,$B$5:$B$304,$B182,$C$5:$C$304,"双分支固定")</x:f>
        <x:v>-0.0003371676597740958</x:v>
      </x:c>
    </x:row>
    <x:row r="183" ht="22" customHeight="1">
      <x:c r="A183" s="2" t="str">
        <x:v>pill</x:v>
      </x:c>
      <x:c r="B183" s="2" t="n">
        <x:v>4</x:v>
      </x:c>
      <x:c r="C183" s="2" t="str">
        <x:v>像素敏感性</x:v>
      </x:c>
      <x:c r="D183" s="9" t="n">
        <x:v>0.9738134206219312</x:v>
      </x:c>
      <x:c r="E183" s="9" t="n">
        <x:v>0.9741411518231917</x:v>
      </x:c>
      <x:c r="F183" s="9" t="n">
        <x:v>0.972255297483482</x:v>
      </x:c>
      <x:c r="G183" s="10" t="n">
        <x:f>D183-SUMIFS(D$5:D$304,$A$5:$A$304,$A183,$B$5:$B$304,$B183,$C$5:$C$304,"双分支固定")</x:f>
        <x:v>0</x:v>
      </x:c>
      <x:c r="H183" s="10" t="n">
        <x:f>E183-SUMIFS(E$5:E$304,$A$5:$A$304,$A183,$B$5:$B$304,$B183,$C$5:$C$304,"双分支固定")</x:f>
        <x:v>-0.00311331404439108</x:v>
      </x:c>
      <x:c r="I183" s="10" t="n">
        <x:f>F183-SUMIFS(F$5:F$304,$A$5:$A$304,$A183,$B$5:$B$304,$B183,$C$5:$C$304,"双分支固定")</x:f>
        <x:v>-0.0031618219981001117</x:v>
      </x:c>
    </x:row>
    <x:row r="184" ht="22" customHeight="1">
      <x:c r="A184" s="2" t="str">
        <x:v>pill</x:v>
      </x:c>
      <x:c r="B184" s="2" t="n">
        <x:v>4</x:v>
      </x:c>
      <x:c r="C184" s="2" t="str">
        <x:v>收缩0.25</x:v>
      </x:c>
      <x:c r="D184" s="9" t="n">
        <x:v>0.9738134206219312</x:v>
      </x:c>
      <x:c r="E184" s="9" t="n">
        <x:v>0.976910885908208</x:v>
      </x:c>
      <x:c r="F184" s="9" t="n">
        <x:v>0.9750799518218081</x:v>
      </x:c>
      <x:c r="G184" s="10" t="n">
        <x:f>D184-SUMIFS(D$5:D$304,$A$5:$A$304,$A184,$B$5:$B$304,$B184,$C$5:$C$304,"双分支固定")</x:f>
        <x:v>0</x:v>
      </x:c>
      <x:c r="H184" s="10" t="n">
        <x:f>E184-SUMIFS(E$5:E$304,$A$5:$A$304,$A184,$B$5:$B$304,$B184,$C$5:$C$304,"双分支固定")</x:f>
        <x:v>-0.0003435799593748401</x:v>
      </x:c>
      <x:c r="I184" s="10" t="n">
        <x:f>F184-SUMIFS(F$5:F$304,$A$5:$A$304,$A184,$B$5:$B$304,$B184,$C$5:$C$304,"双分支固定")</x:f>
        <x:v>-0.0003371676597740958</x:v>
      </x:c>
    </x:row>
    <x:row r="185" ht="22" customHeight="1">
      <x:c r="A185" s="2" t="str">
        <x:v>screw</x:v>
      </x:c>
      <x:c r="B185" s="2" t="n">
        <x:v>0</x:v>
      </x:c>
      <x:c r="C185" s="2" t="str">
        <x:v>双分支固定</x:v>
      </x:c>
      <x:c r="D185" s="9" t="n">
        <x:v>0.9573683131789301</x:v>
      </x:c>
      <x:c r="E185" s="9" t="n">
        <x:v>0.9773550463215038</x:v>
      </x:c>
      <x:c r="F185" s="9" t="n">
        <x:v>0.9745035959271582</x:v>
      </x:c>
      <x:c r="G185" s="10" t="n">
        <x:f>D185-SUMIFS(D$5:D$304,$A$5:$A$304,$A185,$B$5:$B$304,$B185,$C$5:$C$304,"双分支固定")</x:f>
        <x:v>0</x:v>
      </x:c>
      <x:c r="H185" s="10" t="n">
        <x:f>E185-SUMIFS(E$5:E$304,$A$5:$A$304,$A185,$B$5:$B$304,$B185,$C$5:$C$304,"双分支固定")</x:f>
        <x:v>0</x:v>
      </x:c>
      <x:c r="I185" s="10" t="n">
        <x:f>F185-SUMIFS(F$5:F$304,$A$5:$A$304,$A185,$B$5:$B$304,$B185,$C$5:$C$304,"双分支固定")</x:f>
        <x:v>0</x:v>
      </x:c>
    </x:row>
    <x:row r="186" ht="22" customHeight="1">
      <x:c r="A186" s="2" t="str">
        <x:v>screw</x:v>
      </x:c>
      <x:c r="B186" s="2" t="n">
        <x:v>0</x:v>
      </x:c>
      <x:c r="C186" s="2" t="str">
        <x:v>门控加收缩</x:v>
      </x:c>
      <x:c r="D186" s="9" t="n">
        <x:v>0.9573683131789301</x:v>
      </x:c>
      <x:c r="E186" s="9" t="n">
        <x:v>0.9773550463215038</x:v>
      </x:c>
      <x:c r="F186" s="9" t="n">
        <x:v>0.9745035959271582</x:v>
      </x:c>
      <x:c r="G186" s="10" t="n">
        <x:f>D186-SUMIFS(D$5:D$304,$A$5:$A$304,$A186,$B$5:$B$304,$B186,$C$5:$C$304,"双分支固定")</x:f>
        <x:v>0</x:v>
      </x:c>
      <x:c r="H186" s="10" t="n">
        <x:f>E186-SUMIFS(E$5:E$304,$A$5:$A$304,$A186,$B$5:$B$304,$B186,$C$5:$C$304,"双分支固定")</x:f>
        <x:v>0</x:v>
      </x:c>
      <x:c r="I186" s="10" t="n">
        <x:f>F186-SUMIFS(F$5:F$304,$A$5:$A$304,$A186,$B$5:$B$304,$B186,$C$5:$C$304,"双分支固定")</x:f>
        <x:v>0</x:v>
      </x:c>
    </x:row>
    <x:row r="187" ht="22" customHeight="1">
      <x:c r="A187" s="2" t="str">
        <x:v>screw</x:v>
      </x:c>
      <x:c r="B187" s="2" t="n">
        <x:v>0</x:v>
      </x:c>
      <x:c r="C187" s="2" t="str">
        <x:v>像素敏感性</x:v>
      </x:c>
      <x:c r="D187" s="9" t="n">
        <x:v>0.9573683131789301</x:v>
      </x:c>
      <x:c r="E187" s="9" t="n">
        <x:v>0.9697744196115156</x:v>
      </x:c>
      <x:c r="F187" s="9" t="n">
        <x:v>0.9665834663692451</x:v>
      </x:c>
      <x:c r="G187" s="10" t="n">
        <x:f>D187-SUMIFS(D$5:D$304,$A$5:$A$304,$A187,$B$5:$B$304,$B187,$C$5:$C$304,"双分支固定")</x:f>
        <x:v>0</x:v>
      </x:c>
      <x:c r="H187" s="10" t="n">
        <x:f>E187-SUMIFS(E$5:E$304,$A$5:$A$304,$A187,$B$5:$B$304,$B187,$C$5:$C$304,"双分支固定")</x:f>
        <x:v>-0.00758062670998827</x:v>
      </x:c>
      <x:c r="I187" s="10" t="n">
        <x:f>F187-SUMIFS(F$5:F$304,$A$5:$A$304,$A187,$B$5:$B$304,$B187,$C$5:$C$304,"双分支固定")</x:f>
        <x:v>-0.007920129557913103</x:v>
      </x:c>
    </x:row>
    <x:row r="188" ht="22" customHeight="1">
      <x:c r="A188" s="2" t="str">
        <x:v>screw</x:v>
      </x:c>
      <x:c r="B188" s="2" t="n">
        <x:v>0</x:v>
      </x:c>
      <x:c r="C188" s="2" t="str">
        <x:v>收缩0.25</x:v>
      </x:c>
      <x:c r="D188" s="9" t="n">
        <x:v>0.9573683131789301</x:v>
      </x:c>
      <x:c r="E188" s="9" t="n">
        <x:v>0.9756461480109755</x:v>
      </x:c>
      <x:c r="F188" s="9" t="n">
        <x:v>0.9727136960510979</x:v>
      </x:c>
      <x:c r="G188" s="10" t="n">
        <x:f>D188-SUMIFS(D$5:D$304,$A$5:$A$304,$A188,$B$5:$B$304,$B188,$C$5:$C$304,"双分支固定")</x:f>
        <x:v>0</x:v>
      </x:c>
      <x:c r="H188" s="10" t="n">
        <x:f>E188-SUMIFS(E$5:E$304,$A$5:$A$304,$A188,$B$5:$B$304,$B188,$C$5:$C$304,"双分支固定")</x:f>
        <x:v>-0.0017088983105283395</x:v>
      </x:c>
      <x:c r="I188" s="10" t="n">
        <x:f>F188-SUMIFS(F$5:F$304,$A$5:$A$304,$A188,$B$5:$B$304,$B188,$C$5:$C$304,"双分支固定")</x:f>
        <x:v>-0.0017898998760602636</x:v>
      </x:c>
    </x:row>
    <x:row r="189" ht="22" customHeight="1">
      <x:c r="A189" s="2" t="str">
        <x:v>screw</x:v>
      </x:c>
      <x:c r="B189" s="2" t="n">
        <x:v>1</x:v>
      </x:c>
      <x:c r="C189" s="2" t="str">
        <x:v>双分支固定</x:v>
      </x:c>
      <x:c r="D189" s="9" t="n">
        <x:v>0.9544988727198196</x:v>
      </x:c>
      <x:c r="E189" s="9" t="n">
        <x:v>0.9774253693290011</x:v>
      </x:c>
      <x:c r="F189" s="9" t="n">
        <x:v>0.9744368856363701</x:v>
      </x:c>
      <x:c r="G189" s="10" t="n">
        <x:f>D189-SUMIFS(D$5:D$304,$A$5:$A$304,$A189,$B$5:$B$304,$B189,$C$5:$C$304,"双分支固定")</x:f>
        <x:v>0</x:v>
      </x:c>
      <x:c r="H189" s="10" t="n">
        <x:f>E189-SUMIFS(E$5:E$304,$A$5:$A$304,$A189,$B$5:$B$304,$B189,$C$5:$C$304,"双分支固定")</x:f>
        <x:v>0</x:v>
      </x:c>
      <x:c r="I189" s="10" t="n">
        <x:f>F189-SUMIFS(F$5:F$304,$A$5:$A$304,$A189,$B$5:$B$304,$B189,$C$5:$C$304,"双分支固定")</x:f>
        <x:v>0</x:v>
      </x:c>
    </x:row>
    <x:row r="190" ht="22" customHeight="1">
      <x:c r="A190" s="2" t="str">
        <x:v>screw</x:v>
      </x:c>
      <x:c r="B190" s="2" t="n">
        <x:v>1</x:v>
      </x:c>
      <x:c r="C190" s="2" t="str">
        <x:v>门控加收缩</x:v>
      </x:c>
      <x:c r="D190" s="9" t="n">
        <x:v>0.9544988727198196</x:v>
      </x:c>
      <x:c r="E190" s="9" t="n">
        <x:v>0.9826700478510236</x:v>
      </x:c>
      <x:c r="F190" s="9" t="n">
        <x:v>0.9800396525637964</x:v>
      </x:c>
      <x:c r="G190" s="10" t="n">
        <x:f>D190-SUMIFS(D$5:D$304,$A$5:$A$304,$A190,$B$5:$B$304,$B190,$C$5:$C$304,"双分支固定")</x:f>
        <x:v>0</x:v>
      </x:c>
      <x:c r="H190" s="10" t="n">
        <x:f>E190-SUMIFS(E$5:E$304,$A$5:$A$304,$A190,$B$5:$B$304,$B190,$C$5:$C$304,"双分支固定")</x:f>
        <x:v>0.005244678522022483</x:v>
      </x:c>
      <x:c r="I190" s="10" t="n">
        <x:f>F190-SUMIFS(F$5:F$304,$A$5:$A$304,$A190,$B$5:$B$304,$B190,$C$5:$C$304,"双分支固定")</x:f>
        <x:v>0.005602766927426339</x:v>
      </x:c>
    </x:row>
    <x:row r="191" ht="22" customHeight="1">
      <x:c r="A191" s="2" t="str">
        <x:v>screw</x:v>
      </x:c>
      <x:c r="B191" s="2" t="n">
        <x:v>1</x:v>
      </x:c>
      <x:c r="C191" s="2" t="str">
        <x:v>像素敏感性</x:v>
      </x:c>
      <x:c r="D191" s="9" t="n">
        <x:v>0.9544988727198196</x:v>
      </x:c>
      <x:c r="E191" s="9" t="n">
        <x:v>0.990432118706462</x:v>
      </x:c>
      <x:c r="F191" s="9" t="n">
        <x:v>0.9885912649836642</x:v>
      </x:c>
      <x:c r="G191" s="10" t="n">
        <x:f>D191-SUMIFS(D$5:D$304,$A$5:$A$304,$A191,$B$5:$B$304,$B191,$C$5:$C$304,"双分支固定")</x:f>
        <x:v>0</x:v>
      </x:c>
      <x:c r="H191" s="10" t="n">
        <x:f>E191-SUMIFS(E$5:E$304,$A$5:$A$304,$A191,$B$5:$B$304,$B191,$C$5:$C$304,"双分支固定")</x:f>
        <x:v>0.013006749377460824</x:v>
      </x:c>
      <x:c r="I191" s="10" t="n">
        <x:f>F191-SUMIFS(F$5:F$304,$A$5:$A$304,$A191,$B$5:$B$304,$B191,$C$5:$C$304,"双分支固定")</x:f>
        <x:v>0.014154379347294133</x:v>
      </x:c>
    </x:row>
    <x:row r="192" ht="22" customHeight="1">
      <x:c r="A192" s="2" t="str">
        <x:v>screw</x:v>
      </x:c>
      <x:c r="B192" s="2" t="n">
        <x:v>1</x:v>
      </x:c>
      <x:c r="C192" s="2" t="str">
        <x:v>收缩0.25</x:v>
      </x:c>
      <x:c r="D192" s="9" t="n">
        <x:v>0.9544988727198196</x:v>
      </x:c>
      <x:c r="E192" s="9" t="n">
        <x:v>0.9826700478510236</x:v>
      </x:c>
      <x:c r="F192" s="9" t="n">
        <x:v>0.9800396525637964</x:v>
      </x:c>
      <x:c r="G192" s="10" t="n">
        <x:f>D192-SUMIFS(D$5:D$304,$A$5:$A$304,$A192,$B$5:$B$304,$B192,$C$5:$C$304,"双分支固定")</x:f>
        <x:v>0</x:v>
      </x:c>
      <x:c r="H192" s="10" t="n">
        <x:f>E192-SUMIFS(E$5:E$304,$A$5:$A$304,$A192,$B$5:$B$304,$B192,$C$5:$C$304,"双分支固定")</x:f>
        <x:v>0.005244678522022483</x:v>
      </x:c>
      <x:c r="I192" s="10" t="n">
        <x:f>F192-SUMIFS(F$5:F$304,$A$5:$A$304,$A192,$B$5:$B$304,$B192,$C$5:$C$304,"双分支固定")</x:f>
        <x:v>0.005602766927426339</x:v>
      </x:c>
    </x:row>
    <x:row r="193" ht="22" customHeight="1">
      <x:c r="A193" s="2" t="str">
        <x:v>screw</x:v>
      </x:c>
      <x:c r="B193" s="2" t="n">
        <x:v>2</x:v>
      </x:c>
      <x:c r="C193" s="2" t="str">
        <x:v>双分支固定</x:v>
      </x:c>
      <x:c r="D193" s="9" t="n">
        <x:v>0.9684361549497849</x:v>
      </x:c>
      <x:c r="E193" s="9" t="n">
        <x:v>0.978336983252192</x:v>
      </x:c>
      <x:c r="F193" s="9" t="n">
        <x:v>0.9757677572843784</x:v>
      </x:c>
      <x:c r="G193" s="10" t="n">
        <x:f>D193-SUMIFS(D$5:D$304,$A$5:$A$304,$A193,$B$5:$B$304,$B193,$C$5:$C$304,"双分支固定")</x:f>
        <x:v>0</x:v>
      </x:c>
      <x:c r="H193" s="10" t="n">
        <x:f>E193-SUMIFS(E$5:E$304,$A$5:$A$304,$A193,$B$5:$B$304,$B193,$C$5:$C$304,"双分支固定")</x:f>
        <x:v>0</x:v>
      </x:c>
      <x:c r="I193" s="10" t="n">
        <x:f>F193-SUMIFS(F$5:F$304,$A$5:$A$304,$A193,$B$5:$B$304,$B193,$C$5:$C$304,"双分支固定")</x:f>
        <x:v>0</x:v>
      </x:c>
    </x:row>
    <x:row r="194" ht="22" customHeight="1">
      <x:c r="A194" s="2" t="str">
        <x:v>screw</x:v>
      </x:c>
      <x:c r="B194" s="2" t="n">
        <x:v>2</x:v>
      </x:c>
      <x:c r="C194" s="2" t="str">
        <x:v>门控加收缩</x:v>
      </x:c>
      <x:c r="D194" s="9" t="n">
        <x:v>0.9684361549497849</x:v>
      </x:c>
      <x:c r="E194" s="9" t="n">
        <x:v>0.9813730023759164</x:v>
      </x:c>
      <x:c r="F194" s="9" t="n">
        <x:v>0.9789986707237293</x:v>
      </x:c>
      <x:c r="G194" s="10" t="n">
        <x:f>D194-SUMIFS(D$5:D$304,$A$5:$A$304,$A194,$B$5:$B$304,$B194,$C$5:$C$304,"双分支固定")</x:f>
        <x:v>0</x:v>
      </x:c>
      <x:c r="H194" s="10" t="n">
        <x:f>E194-SUMIFS(E$5:E$304,$A$5:$A$304,$A194,$B$5:$B$304,$B194,$C$5:$C$304,"双分支固定")</x:f>
        <x:v>0.0030360191237244205</x:v>
      </x:c>
      <x:c r="I194" s="10" t="n">
        <x:f>F194-SUMIFS(F$5:F$304,$A$5:$A$304,$A194,$B$5:$B$304,$B194,$C$5:$C$304,"双分支固定")</x:f>
        <x:v>0.003230913439350891</x:v>
      </x:c>
    </x:row>
    <x:row r="195" ht="22" customHeight="1">
      <x:c r="A195" s="2" t="str">
        <x:v>screw</x:v>
      </x:c>
      <x:c r="B195" s="2" t="n">
        <x:v>2</x:v>
      </x:c>
      <x:c r="C195" s="2" t="str">
        <x:v>像素敏感性</x:v>
      </x:c>
      <x:c r="D195" s="9" t="n">
        <x:v>0.9684361549497849</x:v>
      </x:c>
      <x:c r="E195" s="9" t="n">
        <x:v>0.9875130019870132</x:v>
      </x:c>
      <x:c r="F195" s="9" t="n">
        <x:v>0.9855930753161665</x:v>
      </x:c>
      <x:c r="G195" s="10" t="n">
        <x:f>D195-SUMIFS(D$5:D$304,$A$5:$A$304,$A195,$B$5:$B$304,$B195,$C$5:$C$304,"双分支固定")</x:f>
        <x:v>0</x:v>
      </x:c>
      <x:c r="H195" s="10" t="n">
        <x:f>E195-SUMIFS(E$5:E$304,$A$5:$A$304,$A195,$B$5:$B$304,$B195,$C$5:$C$304,"双分支固定")</x:f>
        <x:v>0.009176018734821212</x:v>
      </x:c>
      <x:c r="I195" s="10" t="n">
        <x:f>F195-SUMIFS(F$5:F$304,$A$5:$A$304,$A195,$B$5:$B$304,$B195,$C$5:$C$304,"双分支固定")</x:f>
        <x:v>0.0098253180317881</x:v>
      </x:c>
    </x:row>
    <x:row r="196" ht="22" customHeight="1">
      <x:c r="A196" s="2" t="str">
        <x:v>screw</x:v>
      </x:c>
      <x:c r="B196" s="2" t="n">
        <x:v>2</x:v>
      </x:c>
      <x:c r="C196" s="2" t="str">
        <x:v>收缩0.25</x:v>
      </x:c>
      <x:c r="D196" s="9" t="n">
        <x:v>0.9684361549497849</x:v>
      </x:c>
      <x:c r="E196" s="9" t="n">
        <x:v>0.9813730023759164</x:v>
      </x:c>
      <x:c r="F196" s="9" t="n">
        <x:v>0.9789986707237293</x:v>
      </x:c>
      <x:c r="G196" s="10" t="n">
        <x:f>D196-SUMIFS(D$5:D$304,$A$5:$A$304,$A196,$B$5:$B$304,$B196,$C$5:$C$304,"双分支固定")</x:f>
        <x:v>0</x:v>
      </x:c>
      <x:c r="H196" s="10" t="n">
        <x:f>E196-SUMIFS(E$5:E$304,$A$5:$A$304,$A196,$B$5:$B$304,$B196,$C$5:$C$304,"双分支固定")</x:f>
        <x:v>0.0030360191237244205</x:v>
      </x:c>
      <x:c r="I196" s="10" t="n">
        <x:f>F196-SUMIFS(F$5:F$304,$A$5:$A$304,$A196,$B$5:$B$304,$B196,$C$5:$C$304,"双分支固定")</x:f>
        <x:v>0.003230913439350891</x:v>
      </x:c>
    </x:row>
    <x:row r="197" ht="22" customHeight="1">
      <x:c r="A197" s="2" t="str">
        <x:v>screw</x:v>
      </x:c>
      <x:c r="B197" s="2" t="n">
        <x:v>3</x:v>
      </x:c>
      <x:c r="C197" s="2" t="str">
        <x:v>双分支固定</x:v>
      </x:c>
      <x:c r="D197" s="9" t="n">
        <x:v>0.9528591924574709</x:v>
      </x:c>
      <x:c r="E197" s="9" t="n">
        <x:v>0.9864111534974529</x:v>
      </x:c>
      <x:c r="F197" s="9" t="n">
        <x:v>0.9839028104321559</x:v>
      </x:c>
      <x:c r="G197" s="10" t="n">
        <x:f>D197-SUMIFS(D$5:D$304,$A$5:$A$304,$A197,$B$5:$B$304,$B197,$C$5:$C$304,"双分支固定")</x:f>
        <x:v>0</x:v>
      </x:c>
      <x:c r="H197" s="10" t="n">
        <x:f>E197-SUMIFS(E$5:E$304,$A$5:$A$304,$A197,$B$5:$B$304,$B197,$C$5:$C$304,"双分支固定")</x:f>
        <x:v>0</x:v>
      </x:c>
      <x:c r="I197" s="10" t="n">
        <x:f>F197-SUMIFS(F$5:F$304,$A$5:$A$304,$A197,$B$5:$B$304,$B197,$C$5:$C$304,"双分支固定")</x:f>
        <x:v>0</x:v>
      </x:c>
    </x:row>
    <x:row r="198" ht="22" customHeight="1">
      <x:c r="A198" s="2" t="str">
        <x:v>screw</x:v>
      </x:c>
      <x:c r="B198" s="2" t="n">
        <x:v>3</x:v>
      </x:c>
      <x:c r="C198" s="2" t="str">
        <x:v>门控加收缩</x:v>
      </x:c>
      <x:c r="D198" s="9" t="n">
        <x:v>0.9528591924574709</x:v>
      </x:c>
      <x:c r="E198" s="9" t="n">
        <x:v>0.9864111534974529</x:v>
      </x:c>
      <x:c r="F198" s="9" t="n">
        <x:v>0.9839028104321559</x:v>
      </x:c>
      <x:c r="G198" s="10" t="n">
        <x:f>D198-SUMIFS(D$5:D$304,$A$5:$A$304,$A198,$B$5:$B$304,$B198,$C$5:$C$304,"双分支固定")</x:f>
        <x:v>0</x:v>
      </x:c>
      <x:c r="H198" s="10" t="n">
        <x:f>E198-SUMIFS(E$5:E$304,$A$5:$A$304,$A198,$B$5:$B$304,$B198,$C$5:$C$304,"双分支固定")</x:f>
        <x:v>0</x:v>
      </x:c>
      <x:c r="I198" s="10" t="n">
        <x:f>F198-SUMIFS(F$5:F$304,$A$5:$A$304,$A198,$B$5:$B$304,$B198,$C$5:$C$304,"双分支固定")</x:f>
        <x:v>0</x:v>
      </x:c>
    </x:row>
    <x:row r="199" ht="22" customHeight="1">
      <x:c r="A199" s="2" t="str">
        <x:v>screw</x:v>
      </x:c>
      <x:c r="B199" s="2" t="n">
        <x:v>3</x:v>
      </x:c>
      <x:c r="C199" s="2" t="str">
        <x:v>像素敏感性</x:v>
      </x:c>
      <x:c r="D199" s="9" t="n">
        <x:v>0.9528591924574709</x:v>
      </x:c>
      <x:c r="E199" s="9" t="n">
        <x:v>0.9875262930472207</x:v>
      </x:c>
      <x:c r="F199" s="9" t="n">
        <x:v>0.9851363244975558</x:v>
      </x:c>
      <x:c r="G199" s="10" t="n">
        <x:f>D199-SUMIFS(D$5:D$304,$A$5:$A$304,$A199,$B$5:$B$304,$B199,$C$5:$C$304,"双分支固定")</x:f>
        <x:v>0</x:v>
      </x:c>
      <x:c r="H199" s="10" t="n">
        <x:f>E199-SUMIFS(E$5:E$304,$A$5:$A$304,$A199,$B$5:$B$304,$B199,$C$5:$C$304,"双分支固定")</x:f>
        <x:v>0.0011151395497678296</x:v>
      </x:c>
      <x:c r="I199" s="10" t="n">
        <x:f>F199-SUMIFS(F$5:F$304,$A$5:$A$304,$A199,$B$5:$B$304,$B199,$C$5:$C$304,"双分支固定")</x:f>
        <x:v>0.0012335140653999543</x:v>
      </x:c>
    </x:row>
    <x:row r="200" ht="22" customHeight="1">
      <x:c r="A200" s="2" t="str">
        <x:v>screw</x:v>
      </x:c>
      <x:c r="B200" s="2" t="n">
        <x:v>3</x:v>
      </x:c>
      <x:c r="C200" s="2" t="str">
        <x:v>收缩0.25</x:v>
      </x:c>
      <x:c r="D200" s="9" t="n">
        <x:v>0.9528591924574709</x:v>
      </x:c>
      <x:c r="E200" s="9" t="n">
        <x:v>0.9867051081072243</x:v>
      </x:c>
      <x:c r="F200" s="9" t="n">
        <x:v>0.9842271163735719</x:v>
      </x:c>
      <x:c r="G200" s="10" t="n">
        <x:f>D200-SUMIFS(D$5:D$304,$A$5:$A$304,$A200,$B$5:$B$304,$B200,$C$5:$C$304,"双分支固定")</x:f>
        <x:v>0</x:v>
      </x:c>
      <x:c r="H200" s="10" t="n">
        <x:f>E200-SUMIFS(E$5:E$304,$A$5:$A$304,$A200,$B$5:$B$304,$B200,$C$5:$C$304,"双分支固定")</x:f>
        <x:v>0.0002939546097714407</x:v>
      </x:c>
      <x:c r="I200" s="10" t="n">
        <x:f>F200-SUMIFS(F$5:F$304,$A$5:$A$304,$A200,$B$5:$B$304,$B200,$C$5:$C$304,"双分支固定")</x:f>
        <x:v>0.0003243059414159699</x:v>
      </x:c>
    </x:row>
    <x:row r="201" ht="22" customHeight="1">
      <x:c r="A201" s="2" t="str">
        <x:v>screw</x:v>
      </x:c>
      <x:c r="B201" s="2" t="n">
        <x:v>4</x:v>
      </x:c>
      <x:c r="C201" s="2" t="str">
        <x:v>双分支固定</x:v>
      </x:c>
      <x:c r="D201" s="9" t="n">
        <x:v>0.9487599918015988</x:v>
      </x:c>
      <x:c r="E201" s="9" t="n">
        <x:v>0.9780634478669468</x:v>
      </x:c>
      <x:c r="F201" s="9" t="n">
        <x:v>0.9749082423791049</x:v>
      </x:c>
      <x:c r="G201" s="10" t="n">
        <x:f>D201-SUMIFS(D$5:D$304,$A$5:$A$304,$A201,$B$5:$B$304,$B201,$C$5:$C$304,"双分支固定")</x:f>
        <x:v>0</x:v>
      </x:c>
      <x:c r="H201" s="10" t="n">
        <x:f>E201-SUMIFS(E$5:E$304,$A$5:$A$304,$A201,$B$5:$B$304,$B201,$C$5:$C$304,"双分支固定")</x:f>
        <x:v>0</x:v>
      </x:c>
      <x:c r="I201" s="10" t="n">
        <x:f>F201-SUMIFS(F$5:F$304,$A$5:$A$304,$A201,$B$5:$B$304,$B201,$C$5:$C$304,"双分支固定")</x:f>
        <x:v>0</x:v>
      </x:c>
    </x:row>
    <x:row r="202" ht="22" customHeight="1">
      <x:c r="A202" s="2" t="str">
        <x:v>screw</x:v>
      </x:c>
      <x:c r="B202" s="2" t="n">
        <x:v>4</x:v>
      </x:c>
      <x:c r="C202" s="2" t="str">
        <x:v>门控加收缩</x:v>
      </x:c>
      <x:c r="D202" s="9" t="n">
        <x:v>0.9487599918015988</x:v>
      </x:c>
      <x:c r="E202" s="9" t="n">
        <x:v>0.9803575719523366</x:v>
      </x:c>
      <x:c r="F202" s="9" t="n">
        <x:v>0.9773750880459889</x:v>
      </x:c>
      <x:c r="G202" s="10" t="n">
        <x:f>D202-SUMIFS(D$5:D$304,$A$5:$A$304,$A202,$B$5:$B$304,$B202,$C$5:$C$304,"双分支固定")</x:f>
        <x:v>0</x:v>
      </x:c>
      <x:c r="H202" s="10" t="n">
        <x:f>E202-SUMIFS(E$5:E$304,$A$5:$A$304,$A202,$B$5:$B$304,$B202,$C$5:$C$304,"双分支固定")</x:f>
        <x:v>0.0022941240853898703</x:v>
      </x:c>
      <x:c r="I202" s="10" t="n">
        <x:f>F202-SUMIFS(F$5:F$304,$A$5:$A$304,$A202,$B$5:$B$304,$B202,$C$5:$C$304,"双分支固定")</x:f>
        <x:v>0.0024668456668840433</x:v>
      </x:c>
    </x:row>
    <x:row r="203" ht="22" customHeight="1">
      <x:c r="A203" s="2" t="str">
        <x:v>screw</x:v>
      </x:c>
      <x:c r="B203" s="2" t="n">
        <x:v>4</x:v>
      </x:c>
      <x:c r="C203" s="2" t="str">
        <x:v>像素敏感性</x:v>
      </x:c>
      <x:c r="D203" s="9" t="n">
        <x:v>0.9487599918015988</x:v>
      </x:c>
      <x:c r="E203" s="9" t="n">
        <x:v>0.9856258735314838</x:v>
      </x:c>
      <x:c r="F203" s="9" t="n">
        <x:v>0.9830888632077744</x:v>
      </x:c>
      <x:c r="G203" s="10" t="n">
        <x:f>D203-SUMIFS(D$5:D$304,$A$5:$A$304,$A203,$B$5:$B$304,$B203,$C$5:$C$304,"双分支固定")</x:f>
        <x:v>0</x:v>
      </x:c>
      <x:c r="H203" s="10" t="n">
        <x:f>E203-SUMIFS(E$5:E$304,$A$5:$A$304,$A203,$B$5:$B$304,$B203,$C$5:$C$304,"双分支固定")</x:f>
        <x:v>0.00756242566453702</x:v>
      </x:c>
      <x:c r="I203" s="10" t="n">
        <x:f>F203-SUMIFS(F$5:F$304,$A$5:$A$304,$A203,$B$5:$B$304,$B203,$C$5:$C$304,"双分支固定")</x:f>
        <x:v>0.00818062082866955</x:v>
      </x:c>
    </x:row>
    <x:row r="204" ht="22" customHeight="1">
      <x:c r="A204" s="2" t="str">
        <x:v>screw</x:v>
      </x:c>
      <x:c r="B204" s="2" t="n">
        <x:v>4</x:v>
      </x:c>
      <x:c r="C204" s="2" t="str">
        <x:v>收缩0.25</x:v>
      </x:c>
      <x:c r="D204" s="9" t="n">
        <x:v>0.9487599918015988</x:v>
      </x:c>
      <x:c r="E204" s="9" t="n">
        <x:v>0.9803575719523366</x:v>
      </x:c>
      <x:c r="F204" s="9" t="n">
        <x:v>0.9773750880459889</x:v>
      </x:c>
      <x:c r="G204" s="10" t="n">
        <x:f>D204-SUMIFS(D$5:D$304,$A$5:$A$304,$A204,$B$5:$B$304,$B204,$C$5:$C$304,"双分支固定")</x:f>
        <x:v>0</x:v>
      </x:c>
      <x:c r="H204" s="10" t="n">
        <x:f>E204-SUMIFS(E$5:E$304,$A$5:$A$304,$A204,$B$5:$B$304,$B204,$C$5:$C$304,"双分支固定")</x:f>
        <x:v>0.0022941240853898703</x:v>
      </x:c>
      <x:c r="I204" s="10" t="n">
        <x:f>F204-SUMIFS(F$5:F$304,$A$5:$A$304,$A204,$B$5:$B$304,$B204,$C$5:$C$304,"双分支固定")</x:f>
        <x:v>0.0024668456668840433</x:v>
      </x:c>
    </x:row>
    <x:row r="205" ht="22" customHeight="1">
      <x:c r="A205" s="2" t="str">
        <x:v>tile</x:v>
      </x:c>
      <x:c r="B205" s="2" t="n">
        <x:v>0</x:v>
      </x:c>
      <x:c r="C205" s="2" t="str">
        <x:v>双分支固定</x:v>
      </x:c>
      <x:c r="D205" s="9" t="n">
        <x:v>0.9931457431457431</x:v>
      </x:c>
      <x:c r="E205" s="9" t="n">
        <x:v>0.9537648511764533</x:v>
      </x:c>
      <x:c r="F205" s="9" t="n">
        <x:v>0.9346330201483555</x:v>
      </x:c>
      <x:c r="G205" s="10" t="n">
        <x:f>D205-SUMIFS(D$5:D$304,$A$5:$A$304,$A205,$B$5:$B$304,$B205,$C$5:$C$304,"双分支固定")</x:f>
        <x:v>0</x:v>
      </x:c>
      <x:c r="H205" s="10" t="n">
        <x:f>E205-SUMIFS(E$5:E$304,$A$5:$A$304,$A205,$B$5:$B$304,$B205,$C$5:$C$304,"双分支固定")</x:f>
        <x:v>0</x:v>
      </x:c>
      <x:c r="I205" s="10" t="n">
        <x:f>F205-SUMIFS(F$5:F$304,$A$5:$A$304,$A205,$B$5:$B$304,$B205,$C$5:$C$304,"双分支固定")</x:f>
        <x:v>0</x:v>
      </x:c>
    </x:row>
    <x:row r="206" ht="22" customHeight="1">
      <x:c r="A206" s="2" t="str">
        <x:v>tile</x:v>
      </x:c>
      <x:c r="B206" s="2" t="n">
        <x:v>0</x:v>
      </x:c>
      <x:c r="C206" s="2" t="str">
        <x:v>门控加收缩</x:v>
      </x:c>
      <x:c r="D206" s="9" t="n">
        <x:v>0.9931457431457431</x:v>
      </x:c>
      <x:c r="E206" s="9" t="n">
        <x:v>0.9537648511764533</x:v>
      </x:c>
      <x:c r="F206" s="9" t="n">
        <x:v>0.9346330201483555</x:v>
      </x:c>
      <x:c r="G206" s="10" t="n">
        <x:f>D206-SUMIFS(D$5:D$304,$A$5:$A$304,$A206,$B$5:$B$304,$B206,$C$5:$C$304,"双分支固定")</x:f>
        <x:v>0</x:v>
      </x:c>
      <x:c r="H206" s="10" t="n">
        <x:f>E206-SUMIFS(E$5:E$304,$A$5:$A$304,$A206,$B$5:$B$304,$B206,$C$5:$C$304,"双分支固定")</x:f>
        <x:v>0</x:v>
      </x:c>
      <x:c r="I206" s="10" t="n">
        <x:f>F206-SUMIFS(F$5:F$304,$A$5:$A$304,$A206,$B$5:$B$304,$B206,$C$5:$C$304,"双分支固定")</x:f>
        <x:v>0</x:v>
      </x:c>
    </x:row>
    <x:row r="207" ht="22" customHeight="1">
      <x:c r="A207" s="2" t="str">
        <x:v>tile</x:v>
      </x:c>
      <x:c r="B207" s="2" t="n">
        <x:v>0</x:v>
      </x:c>
      <x:c r="C207" s="2" t="str">
        <x:v>像素敏感性</x:v>
      </x:c>
      <x:c r="D207" s="9" t="n">
        <x:v>0.9931457431457431</x:v>
      </x:c>
      <x:c r="E207" s="9" t="n">
        <x:v>0.9533231135657213</x:v>
      </x:c>
      <x:c r="F207" s="9" t="n">
        <x:v>0.935879961218935</x:v>
      </x:c>
      <x:c r="G207" s="10" t="n">
        <x:f>D207-SUMIFS(D$5:D$304,$A$5:$A$304,$A207,$B$5:$B$304,$B207,$C$5:$C$304,"双分支固定")</x:f>
        <x:v>0</x:v>
      </x:c>
      <x:c r="H207" s="10" t="n">
        <x:f>E207-SUMIFS(E$5:E$304,$A$5:$A$304,$A207,$B$5:$B$304,$B207,$C$5:$C$304,"双分支固定")</x:f>
        <x:v>-0.0004417376107319626</x:v>
      </x:c>
      <x:c r="I207" s="10" t="n">
        <x:f>F207-SUMIFS(F$5:F$304,$A$5:$A$304,$A207,$B$5:$B$304,$B207,$C$5:$C$304,"双分支固定")</x:f>
        <x:v>0.0012469410705795436</x:v>
      </x:c>
    </x:row>
    <x:row r="208" ht="22" customHeight="1">
      <x:c r="A208" s="2" t="str">
        <x:v>tile</x:v>
      </x:c>
      <x:c r="B208" s="2" t="n">
        <x:v>0</x:v>
      </x:c>
      <x:c r="C208" s="2" t="str">
        <x:v>收缩0.25</x:v>
      </x:c>
      <x:c r="D208" s="9" t="n">
        <x:v>0.9931457431457431</x:v>
      </x:c>
      <x:c r="E208" s="9" t="n">
        <x:v>0.9543409808905104</x:v>
      </x:c>
      <x:c r="F208" s="9" t="n">
        <x:v>0.9356978682062935</x:v>
      </x:c>
      <x:c r="G208" s="10" t="n">
        <x:f>D208-SUMIFS(D$5:D$304,$A$5:$A$304,$A208,$B$5:$B$304,$B208,$C$5:$C$304,"双分支固定")</x:f>
        <x:v>0</x:v>
      </x:c>
      <x:c r="H208" s="10" t="n">
        <x:f>E208-SUMIFS(E$5:E$304,$A$5:$A$304,$A208,$B$5:$B$304,$B208,$C$5:$C$304,"双分支固定")</x:f>
        <x:v>0.000576129714057183</x:v>
      </x:c>
      <x:c r="I208" s="10" t="n">
        <x:f>F208-SUMIFS(F$5:F$304,$A$5:$A$304,$A208,$B$5:$B$304,$B208,$C$5:$C$304,"双分支固定")</x:f>
        <x:v>0.0010648480579380504</x:v>
      </x:c>
    </x:row>
    <x:row r="209" ht="22" customHeight="1">
      <x:c r="A209" s="2" t="str">
        <x:v>tile</x:v>
      </x:c>
      <x:c r="B209" s="2" t="n">
        <x:v>1</x:v>
      </x:c>
      <x:c r="C209" s="2" t="str">
        <x:v>双分支固定</x:v>
      </x:c>
      <x:c r="D209" s="9" t="n">
        <x:v>0.9981962481962483</x:v>
      </x:c>
      <x:c r="E209" s="9" t="n">
        <x:v>0.9493461082008644</x:v>
      </x:c>
      <x:c r="F209" s="9" t="n">
        <x:v>0.9294873962192467</x:v>
      </x:c>
      <x:c r="G209" s="10" t="n">
        <x:f>D209-SUMIFS(D$5:D$304,$A$5:$A$304,$A209,$B$5:$B$304,$B209,$C$5:$C$304,"双分支固定")</x:f>
        <x:v>0</x:v>
      </x:c>
      <x:c r="H209" s="10" t="n">
        <x:f>E209-SUMIFS(E$5:E$304,$A$5:$A$304,$A209,$B$5:$B$304,$B209,$C$5:$C$304,"双分支固定")</x:f>
        <x:v>0</x:v>
      </x:c>
      <x:c r="I209" s="10" t="n">
        <x:f>F209-SUMIFS(F$5:F$304,$A$5:$A$304,$A209,$B$5:$B$304,$B209,$C$5:$C$304,"双分支固定")</x:f>
        <x:v>0</x:v>
      </x:c>
    </x:row>
    <x:row r="210" ht="22" customHeight="1">
      <x:c r="A210" s="2" t="str">
        <x:v>tile</x:v>
      </x:c>
      <x:c r="B210" s="2" t="n">
        <x:v>1</x:v>
      </x:c>
      <x:c r="C210" s="2" t="str">
        <x:v>门控加收缩</x:v>
      </x:c>
      <x:c r="D210" s="9" t="n">
        <x:v>0.9981962481962483</x:v>
      </x:c>
      <x:c r="E210" s="9" t="n">
        <x:v>0.9498998637449955</x:v>
      </x:c>
      <x:c r="F210" s="9" t="n">
        <x:v>0.9305747041321099</x:v>
      </x:c>
      <x:c r="G210" s="10" t="n">
        <x:f>D210-SUMIFS(D$5:D$304,$A$5:$A$304,$A210,$B$5:$B$304,$B210,$C$5:$C$304,"双分支固定")</x:f>
        <x:v>0</x:v>
      </x:c>
      <x:c r="H210" s="10" t="n">
        <x:f>E210-SUMIFS(E$5:E$304,$A$5:$A$304,$A210,$B$5:$B$304,$B210,$C$5:$C$304,"双分支固定")</x:f>
        <x:v>0.0005537555441310626</x:v>
      </x:c>
      <x:c r="I210" s="10" t="n">
        <x:f>F210-SUMIFS(F$5:F$304,$A$5:$A$304,$A210,$B$5:$B$304,$B210,$C$5:$C$304,"双分支固定")</x:f>
        <x:v>0.0010873079128631558</x:v>
      </x:c>
    </x:row>
    <x:row r="211" ht="22" customHeight="1">
      <x:c r="A211" s="2" t="str">
        <x:v>tile</x:v>
      </x:c>
      <x:c r="B211" s="2" t="n">
        <x:v>1</x:v>
      </x:c>
      <x:c r="C211" s="2" t="str">
        <x:v>像素敏感性</x:v>
      </x:c>
      <x:c r="D211" s="9" t="n">
        <x:v>0.9981962481962483</x:v>
      </x:c>
      <x:c r="E211" s="9" t="n">
        <x:v>0.9491617158628588</x:v>
      </x:c>
      <x:c r="F211" s="9" t="n">
        <x:v>0.9312063558890831</x:v>
      </x:c>
      <x:c r="G211" s="10" t="n">
        <x:f>D211-SUMIFS(D$5:D$304,$A$5:$A$304,$A211,$B$5:$B$304,$B211,$C$5:$C$304,"双分支固定")</x:f>
        <x:v>0</x:v>
      </x:c>
      <x:c r="H211" s="10" t="n">
        <x:f>E211-SUMIFS(E$5:E$304,$A$5:$A$304,$A211,$B$5:$B$304,$B211,$C$5:$C$304,"双分支固定")</x:f>
        <x:v>-0.00018439233800560118</x:v>
      </x:c>
      <x:c r="I211" s="10" t="n">
        <x:f>F211-SUMIFS(F$5:F$304,$A$5:$A$304,$A211,$B$5:$B$304,$B211,$C$5:$C$304,"双分支固定")</x:f>
        <x:v>0.001718959669836373</x:v>
      </x:c>
    </x:row>
    <x:row r="212" ht="22" customHeight="1">
      <x:c r="A212" s="2" t="str">
        <x:v>tile</x:v>
      </x:c>
      <x:c r="B212" s="2" t="n">
        <x:v>1</x:v>
      </x:c>
      <x:c r="C212" s="2" t="str">
        <x:v>收缩0.25</x:v>
      </x:c>
      <x:c r="D212" s="9" t="n">
        <x:v>0.9981962481962483</x:v>
      </x:c>
      <x:c r="E212" s="9" t="n">
        <x:v>0.9498998637449955</x:v>
      </x:c>
      <x:c r="F212" s="9" t="n">
        <x:v>0.9305747041321099</x:v>
      </x:c>
      <x:c r="G212" s="10" t="n">
        <x:f>D212-SUMIFS(D$5:D$304,$A$5:$A$304,$A212,$B$5:$B$304,$B212,$C$5:$C$304,"双分支固定")</x:f>
        <x:v>0</x:v>
      </x:c>
      <x:c r="H212" s="10" t="n">
        <x:f>E212-SUMIFS(E$5:E$304,$A$5:$A$304,$A212,$B$5:$B$304,$B212,$C$5:$C$304,"双分支固定")</x:f>
        <x:v>0.0005537555441310626</x:v>
      </x:c>
      <x:c r="I212" s="10" t="n">
        <x:f>F212-SUMIFS(F$5:F$304,$A$5:$A$304,$A212,$B$5:$B$304,$B212,$C$5:$C$304,"双分支固定")</x:f>
        <x:v>0.0010873079128631558</x:v>
      </x:c>
    </x:row>
    <x:row r="213" ht="22" customHeight="1">
      <x:c r="A213" s="2" t="str">
        <x:v>tile</x:v>
      </x:c>
      <x:c r="B213" s="2" t="n">
        <x:v>2</x:v>
      </x:c>
      <x:c r="C213" s="2" t="str">
        <x:v>双分支固定</x:v>
      </x:c>
      <x:c r="D213" s="9" t="n">
        <x:v>0.9909812409812411</x:v>
      </x:c>
      <x:c r="E213" s="9" t="n">
        <x:v>0.9496901493024297</x:v>
      </x:c>
      <x:c r="F213" s="9" t="n">
        <x:v>0.9297082864068108</x:v>
      </x:c>
      <x:c r="G213" s="10" t="n">
        <x:f>D213-SUMIFS(D$5:D$304,$A$5:$A$304,$A213,$B$5:$B$304,$B213,$C$5:$C$304,"双分支固定")</x:f>
        <x:v>0</x:v>
      </x:c>
      <x:c r="H213" s="10" t="n">
        <x:f>E213-SUMIFS(E$5:E$304,$A$5:$A$304,$A213,$B$5:$B$304,$B213,$C$5:$C$304,"双分支固定")</x:f>
        <x:v>0</x:v>
      </x:c>
      <x:c r="I213" s="10" t="n">
        <x:f>F213-SUMIFS(F$5:F$304,$A$5:$A$304,$A213,$B$5:$B$304,$B213,$C$5:$C$304,"双分支固定")</x:f>
        <x:v>0</x:v>
      </x:c>
    </x:row>
    <x:row r="214" ht="22" customHeight="1">
      <x:c r="A214" s="2" t="str">
        <x:v>tile</x:v>
      </x:c>
      <x:c r="B214" s="2" t="n">
        <x:v>2</x:v>
      </x:c>
      <x:c r="C214" s="2" t="str">
        <x:v>门控加收缩</x:v>
      </x:c>
      <x:c r="D214" s="9" t="n">
        <x:v>0.9909812409812411</x:v>
      </x:c>
      <x:c r="E214" s="9" t="n">
        <x:v>0.9503424852405238</x:v>
      </x:c>
      <x:c r="F214" s="9" t="n">
        <x:v>0.9307902113338815</x:v>
      </x:c>
      <x:c r="G214" s="10" t="n">
        <x:f>D214-SUMIFS(D$5:D$304,$A$5:$A$304,$A214,$B$5:$B$304,$B214,$C$5:$C$304,"双分支固定")</x:f>
        <x:v>0</x:v>
      </x:c>
      <x:c r="H214" s="10" t="n">
        <x:f>E214-SUMIFS(E$5:E$304,$A$5:$A$304,$A214,$B$5:$B$304,$B214,$C$5:$C$304,"双分支固定")</x:f>
        <x:v>0.0006523359380941063</x:v>
      </x:c>
      <x:c r="I214" s="10" t="n">
        <x:f>F214-SUMIFS(F$5:F$304,$A$5:$A$304,$A214,$B$5:$B$304,$B214,$C$5:$C$304,"双分支固定")</x:f>
        <x:v>0.0010819249270707099</x:v>
      </x:c>
    </x:row>
    <x:row r="215" ht="22" customHeight="1">
      <x:c r="A215" s="2" t="str">
        <x:v>tile</x:v>
      </x:c>
      <x:c r="B215" s="2" t="n">
        <x:v>2</x:v>
      </x:c>
      <x:c r="C215" s="2" t="str">
        <x:v>像素敏感性</x:v>
      </x:c>
      <x:c r="D215" s="9" t="n">
        <x:v>0.9909812409812411</x:v>
      </x:c>
      <x:c r="E215" s="9" t="n">
        <x:v>0.9511245857849674</x:v>
      </x:c>
      <x:c r="F215" s="9" t="n">
        <x:v>0.9327080212112842</x:v>
      </x:c>
      <x:c r="G215" s="10" t="n">
        <x:f>D215-SUMIFS(D$5:D$304,$A$5:$A$304,$A215,$B$5:$B$304,$B215,$C$5:$C$304,"双分支固定")</x:f>
        <x:v>0</x:v>
      </x:c>
      <x:c r="H215" s="10" t="n">
        <x:f>E215-SUMIFS(E$5:E$304,$A$5:$A$304,$A215,$B$5:$B$304,$B215,$C$5:$C$304,"双分支固定")</x:f>
        <x:v>0.0014344364825377154</x:v>
      </x:c>
      <x:c r="I215" s="10" t="n">
        <x:f>F215-SUMIFS(F$5:F$304,$A$5:$A$304,$A215,$B$5:$B$304,$B215,$C$5:$C$304,"双分支固定")</x:f>
        <x:v>0.002999734804473353</x:v>
      </x:c>
    </x:row>
    <x:row r="216" ht="22" customHeight="1">
      <x:c r="A216" s="2" t="str">
        <x:v>tile</x:v>
      </x:c>
      <x:c r="B216" s="2" t="n">
        <x:v>2</x:v>
      </x:c>
      <x:c r="C216" s="2" t="str">
        <x:v>收缩0.25</x:v>
      </x:c>
      <x:c r="D216" s="9" t="n">
        <x:v>0.9909812409812411</x:v>
      </x:c>
      <x:c r="E216" s="9" t="n">
        <x:v>0.9503424852405238</x:v>
      </x:c>
      <x:c r="F216" s="9" t="n">
        <x:v>0.9307902113338815</x:v>
      </x:c>
      <x:c r="G216" s="10" t="n">
        <x:f>D216-SUMIFS(D$5:D$304,$A$5:$A$304,$A216,$B$5:$B$304,$B216,$C$5:$C$304,"双分支固定")</x:f>
        <x:v>0</x:v>
      </x:c>
      <x:c r="H216" s="10" t="n">
        <x:f>E216-SUMIFS(E$5:E$304,$A$5:$A$304,$A216,$B$5:$B$304,$B216,$C$5:$C$304,"双分支固定")</x:f>
        <x:v>0.0006523359380941063</x:v>
      </x:c>
      <x:c r="I216" s="10" t="n">
        <x:f>F216-SUMIFS(F$5:F$304,$A$5:$A$304,$A216,$B$5:$B$304,$B216,$C$5:$C$304,"双分支固定")</x:f>
        <x:v>0.0010819249270707099</x:v>
      </x:c>
    </x:row>
    <x:row r="217" ht="22" customHeight="1">
      <x:c r="A217" s="2" t="str">
        <x:v>tile</x:v>
      </x:c>
      <x:c r="B217" s="2" t="n">
        <x:v>3</x:v>
      </x:c>
      <x:c r="C217" s="2" t="str">
        <x:v>双分支固定</x:v>
      </x:c>
      <x:c r="D217" s="9" t="n">
        <x:v>0.9971139971139971</x:v>
      </x:c>
      <x:c r="E217" s="9" t="n">
        <x:v>0.9491760857704071</x:v>
      </x:c>
      <x:c r="F217" s="9" t="n">
        <x:v>0.9289782378497005</x:v>
      </x:c>
      <x:c r="G217" s="10" t="n">
        <x:f>D217-SUMIFS(D$5:D$304,$A$5:$A$304,$A217,$B$5:$B$304,$B217,$C$5:$C$304,"双分支固定")</x:f>
        <x:v>0</x:v>
      </x:c>
      <x:c r="H217" s="10" t="n">
        <x:f>E217-SUMIFS(E$5:E$304,$A$5:$A$304,$A217,$B$5:$B$304,$B217,$C$5:$C$304,"双分支固定")</x:f>
        <x:v>0</x:v>
      </x:c>
      <x:c r="I217" s="10" t="n">
        <x:f>F217-SUMIFS(F$5:F$304,$A$5:$A$304,$A217,$B$5:$B$304,$B217,$C$5:$C$304,"双分支固定")</x:f>
        <x:v>0</x:v>
      </x:c>
    </x:row>
    <x:row r="218" ht="22" customHeight="1">
      <x:c r="A218" s="2" t="str">
        <x:v>tile</x:v>
      </x:c>
      <x:c r="B218" s="2" t="n">
        <x:v>3</x:v>
      </x:c>
      <x:c r="C218" s="2" t="str">
        <x:v>门控加收缩</x:v>
      </x:c>
      <x:c r="D218" s="9" t="n">
        <x:v>0.9971139971139971</x:v>
      </x:c>
      <x:c r="E218" s="9" t="n">
        <x:v>0.95011427883128</x:v>
      </x:c>
      <x:c r="F218" s="9" t="n">
        <x:v>0.9304198357922672</x:v>
      </x:c>
      <x:c r="G218" s="10" t="n">
        <x:f>D218-SUMIFS(D$5:D$304,$A$5:$A$304,$A218,$B$5:$B$304,$B218,$C$5:$C$304,"双分支固定")</x:f>
        <x:v>0</x:v>
      </x:c>
      <x:c r="H218" s="10" t="n">
        <x:f>E218-SUMIFS(E$5:E$304,$A$5:$A$304,$A218,$B$5:$B$304,$B218,$C$5:$C$304,"双分支固定")</x:f>
        <x:v>0.0009381930608728384</x:v>
      </x:c>
      <x:c r="I218" s="10" t="n">
        <x:f>F218-SUMIFS(F$5:F$304,$A$5:$A$304,$A218,$B$5:$B$304,$B218,$C$5:$C$304,"双分支固定")</x:f>
        <x:v>0.001441597942566708</x:v>
      </x:c>
    </x:row>
    <x:row r="219" ht="22" customHeight="1">
      <x:c r="A219" s="2" t="str">
        <x:v>tile</x:v>
      </x:c>
      <x:c r="B219" s="2" t="n">
        <x:v>3</x:v>
      </x:c>
      <x:c r="C219" s="2" t="str">
        <x:v>像素敏感性</x:v>
      </x:c>
      <x:c r="D219" s="9" t="n">
        <x:v>0.9971139971139971</x:v>
      </x:c>
      <x:c r="E219" s="9" t="n">
        <x:v>0.9517131995363659</x:v>
      </x:c>
      <x:c r="F219" s="9" t="n">
        <x:v>0.9333710158905031</x:v>
      </x:c>
      <x:c r="G219" s="10" t="n">
        <x:f>D219-SUMIFS(D$5:D$304,$A$5:$A$304,$A219,$B$5:$B$304,$B219,$C$5:$C$304,"双分支固定")</x:f>
        <x:v>0</x:v>
      </x:c>
      <x:c r="H219" s="10" t="n">
        <x:f>E219-SUMIFS(E$5:E$304,$A$5:$A$304,$A219,$B$5:$B$304,$B219,$C$5:$C$304,"双分支固定")</x:f>
        <x:v>0.002537113765958776</x:v>
      </x:c>
      <x:c r="I219" s="10" t="n">
        <x:f>F219-SUMIFS(F$5:F$304,$A$5:$A$304,$A219,$B$5:$B$304,$B219,$C$5:$C$304,"双分支固定")</x:f>
        <x:v>0.004392778040802625</x:v>
      </x:c>
    </x:row>
    <x:row r="220" ht="22" customHeight="1">
      <x:c r="A220" s="2" t="str">
        <x:v>tile</x:v>
      </x:c>
      <x:c r="B220" s="2" t="n">
        <x:v>3</x:v>
      </x:c>
      <x:c r="C220" s="2" t="str">
        <x:v>收缩0.25</x:v>
      </x:c>
      <x:c r="D220" s="9" t="n">
        <x:v>0.9971139971139971</x:v>
      </x:c>
      <x:c r="E220" s="9" t="n">
        <x:v>0.95011427883128</x:v>
      </x:c>
      <x:c r="F220" s="9" t="n">
        <x:v>0.9304198357922672</x:v>
      </x:c>
      <x:c r="G220" s="10" t="n">
        <x:f>D220-SUMIFS(D$5:D$304,$A$5:$A$304,$A220,$B$5:$B$304,$B220,$C$5:$C$304,"双分支固定")</x:f>
        <x:v>0</x:v>
      </x:c>
      <x:c r="H220" s="10" t="n">
        <x:f>E220-SUMIFS(E$5:E$304,$A$5:$A$304,$A220,$B$5:$B$304,$B220,$C$5:$C$304,"双分支固定")</x:f>
        <x:v>0.0009381930608728384</x:v>
      </x:c>
      <x:c r="I220" s="10" t="n">
        <x:f>F220-SUMIFS(F$5:F$304,$A$5:$A$304,$A220,$B$5:$B$304,$B220,$C$5:$C$304,"双分支固定")</x:f>
        <x:v>0.001441597942566708</x:v>
      </x:c>
    </x:row>
    <x:row r="221" ht="22" customHeight="1">
      <x:c r="A221" s="2" t="str">
        <x:v>tile</x:v>
      </x:c>
      <x:c r="B221" s="2" t="n">
        <x:v>4</x:v>
      </x:c>
      <x:c r="C221" s="2" t="str">
        <x:v>双分支固定</x:v>
      </x:c>
      <x:c r="D221" s="9" t="n">
        <x:v>0.9891774891774893</x:v>
      </x:c>
      <x:c r="E221" s="9" t="n">
        <x:v>0.9492408697454999</x:v>
      </x:c>
      <x:c r="F221" s="9" t="n">
        <x:v>0.929413974783899</x:v>
      </x:c>
      <x:c r="G221" s="10" t="n">
        <x:f>D221-SUMIFS(D$5:D$304,$A$5:$A$304,$A221,$B$5:$B$304,$B221,$C$5:$C$304,"双分支固定")</x:f>
        <x:v>0</x:v>
      </x:c>
      <x:c r="H221" s="10" t="n">
        <x:f>E221-SUMIFS(E$5:E$304,$A$5:$A$304,$A221,$B$5:$B$304,$B221,$C$5:$C$304,"双分支固定")</x:f>
        <x:v>0</x:v>
      </x:c>
      <x:c r="I221" s="10" t="n">
        <x:f>F221-SUMIFS(F$5:F$304,$A$5:$A$304,$A221,$B$5:$B$304,$B221,$C$5:$C$304,"双分支固定")</x:f>
        <x:v>0</x:v>
      </x:c>
    </x:row>
    <x:row r="222" ht="22" customHeight="1">
      <x:c r="A222" s="2" t="str">
        <x:v>tile</x:v>
      </x:c>
      <x:c r="B222" s="2" t="n">
        <x:v>4</x:v>
      </x:c>
      <x:c r="C222" s="2" t="str">
        <x:v>门控加收缩</x:v>
      </x:c>
      <x:c r="D222" s="9" t="n">
        <x:v>0.9891774891774893</x:v>
      </x:c>
      <x:c r="E222" s="9" t="n">
        <x:v>0.9492408697454999</x:v>
      </x:c>
      <x:c r="F222" s="9" t="n">
        <x:v>0.929413974783899</x:v>
      </x:c>
      <x:c r="G222" s="10" t="n">
        <x:f>D222-SUMIFS(D$5:D$304,$A$5:$A$304,$A222,$B$5:$B$304,$B222,$C$5:$C$304,"双分支固定")</x:f>
        <x:v>0</x:v>
      </x:c>
      <x:c r="H222" s="10" t="n">
        <x:f>E222-SUMIFS(E$5:E$304,$A$5:$A$304,$A222,$B$5:$B$304,$B222,$C$5:$C$304,"双分支固定")</x:f>
        <x:v>0</x:v>
      </x:c>
      <x:c r="I222" s="10" t="n">
        <x:f>F222-SUMIFS(F$5:F$304,$A$5:$A$304,$A222,$B$5:$B$304,$B222,$C$5:$C$304,"双分支固定")</x:f>
        <x:v>0</x:v>
      </x:c>
    </x:row>
    <x:row r="223" ht="22" customHeight="1">
      <x:c r="A223" s="2" t="str">
        <x:v>tile</x:v>
      </x:c>
      <x:c r="B223" s="2" t="n">
        <x:v>4</x:v>
      </x:c>
      <x:c r="C223" s="2" t="str">
        <x:v>像素敏感性</x:v>
      </x:c>
      <x:c r="D223" s="9" t="n">
        <x:v>0.9891774891774893</x:v>
      </x:c>
      <x:c r="E223" s="9" t="n">
        <x:v>0.9488081182039061</x:v>
      </x:c>
      <x:c r="F223" s="9" t="n">
        <x:v>0.9312024792005881</x:v>
      </x:c>
      <x:c r="G223" s="10" t="n">
        <x:f>D223-SUMIFS(D$5:D$304,$A$5:$A$304,$A223,$B$5:$B$304,$B223,$C$5:$C$304,"双分支固定")</x:f>
        <x:v>0</x:v>
      </x:c>
      <x:c r="H223" s="10" t="n">
        <x:f>E223-SUMIFS(E$5:E$304,$A$5:$A$304,$A223,$B$5:$B$304,$B223,$C$5:$C$304,"双分支固定")</x:f>
        <x:v>-0.00043275154159383433</x:v>
      </x:c>
      <x:c r="I223" s="10" t="n">
        <x:f>F223-SUMIFS(F$5:F$304,$A$5:$A$304,$A223,$B$5:$B$304,$B223,$C$5:$C$304,"双分支固定")</x:f>
        <x:v>0.0017885044166890962</x:v>
      </x:c>
    </x:row>
    <x:row r="224" ht="22" customHeight="1">
      <x:c r="A224" s="2" t="str">
        <x:v>tile</x:v>
      </x:c>
      <x:c r="B224" s="2" t="n">
        <x:v>4</x:v>
      </x:c>
      <x:c r="C224" s="2" t="str">
        <x:v>收缩0.25</x:v>
      </x:c>
      <x:c r="D224" s="9" t="n">
        <x:v>0.9891774891774893</x:v>
      </x:c>
      <x:c r="E224" s="9" t="n">
        <x:v>0.9499484605620208</x:v>
      </x:c>
      <x:c r="F224" s="9" t="n">
        <x:v>0.9307392654945016</x:v>
      </x:c>
      <x:c r="G224" s="10" t="n">
        <x:f>D224-SUMIFS(D$5:D$304,$A$5:$A$304,$A224,$B$5:$B$304,$B224,$C$5:$C$304,"双分支固定")</x:f>
        <x:v>0</x:v>
      </x:c>
      <x:c r="H224" s="10" t="n">
        <x:f>E224-SUMIFS(E$5:E$304,$A$5:$A$304,$A224,$B$5:$B$304,$B224,$C$5:$C$304,"双分支固定")</x:f>
        <x:v>0.0007075908165208311</x:v>
      </x:c>
      <x:c r="I224" s="10" t="n">
        <x:f>F224-SUMIFS(F$5:F$304,$A$5:$A$304,$A224,$B$5:$B$304,$B224,$C$5:$C$304,"双分支固定")</x:f>
        <x:v>0.0013252907106026113</x:v>
      </x:c>
    </x:row>
    <x:row r="225" ht="22" customHeight="1">
      <x:c r="A225" s="2" t="str">
        <x:v>toothbrush</x:v>
      </x:c>
      <x:c r="B225" s="2" t="n">
        <x:v>0</x:v>
      </x:c>
      <x:c r="C225" s="2" t="str">
        <x:v>双分支固定</x:v>
      </x:c>
      <x:c r="D225" s="9" t="n">
        <x:v>1</x:v>
      </x:c>
      <x:c r="E225" s="9" t="n">
        <x:v>0.9864820149741813</x:v>
      </x:c>
      <x:c r="F225" s="9" t="n">
        <x:v>0.9811238299798626</x:v>
      </x:c>
      <x:c r="G225" s="10" t="n">
        <x:f>D225-SUMIFS(D$5:D$304,$A$5:$A$304,$A225,$B$5:$B$304,$B225,$C$5:$C$304,"双分支固定")</x:f>
        <x:v>0</x:v>
      </x:c>
      <x:c r="H225" s="10" t="n">
        <x:f>E225-SUMIFS(E$5:E$304,$A$5:$A$304,$A225,$B$5:$B$304,$B225,$C$5:$C$304,"双分支固定")</x:f>
        <x:v>0</x:v>
      </x:c>
      <x:c r="I225" s="10" t="n">
        <x:f>F225-SUMIFS(F$5:F$304,$A$5:$A$304,$A225,$B$5:$B$304,$B225,$C$5:$C$304,"双分支固定")</x:f>
        <x:v>0</x:v>
      </x:c>
    </x:row>
    <x:row r="226" ht="22" customHeight="1">
      <x:c r="A226" s="2" t="str">
        <x:v>toothbrush</x:v>
      </x:c>
      <x:c r="B226" s="2" t="n">
        <x:v>0</x:v>
      </x:c>
      <x:c r="C226" s="2" t="str">
        <x:v>门控加收缩</x:v>
      </x:c>
      <x:c r="D226" s="9" t="n">
        <x:v>1</x:v>
      </x:c>
      <x:c r="E226" s="9" t="n">
        <x:v>0.9864149077983083</x:v>
      </x:c>
      <x:c r="F226" s="9" t="n">
        <x:v>0.981017633991631</x:v>
      </x:c>
      <x:c r="G226" s="10" t="n">
        <x:f>D226-SUMIFS(D$5:D$304,$A$5:$A$304,$A226,$B$5:$B$304,$B226,$C$5:$C$304,"双分支固定")</x:f>
        <x:v>0</x:v>
      </x:c>
      <x:c r="H226" s="10" t="n">
        <x:f>E226-SUMIFS(E$5:E$304,$A$5:$A$304,$A226,$B$5:$B$304,$B226,$C$5:$C$304,"双分支固定")</x:f>
        <x:v>-0.00006710717587299353</x:v>
      </x:c>
      <x:c r="I226" s="10" t="n">
        <x:f>F226-SUMIFS(F$5:F$304,$A$5:$A$304,$A226,$B$5:$B$304,$B226,$C$5:$C$304,"双分支固定")</x:f>
        <x:v>-0.00010619598823158327</x:v>
      </x:c>
    </x:row>
    <x:row r="227" ht="22" customHeight="1">
      <x:c r="A227" s="2" t="str">
        <x:v>toothbrush</x:v>
      </x:c>
      <x:c r="B227" s="2" t="n">
        <x:v>0</x:v>
      </x:c>
      <x:c r="C227" s="2" t="str">
        <x:v>像素敏感性</x:v>
      </x:c>
      <x:c r="D227" s="9" t="n">
        <x:v>1</x:v>
      </x:c>
      <x:c r="E227" s="9" t="n">
        <x:v>0.9860306289966515</x:v>
      </x:c>
      <x:c r="F227" s="9" t="n">
        <x:v>0.9804671376831162</x:v>
      </x:c>
      <x:c r="G227" s="10" t="n">
        <x:f>D227-SUMIFS(D$5:D$304,$A$5:$A$304,$A227,$B$5:$B$304,$B227,$C$5:$C$304,"双分支固定")</x:f>
        <x:v>0</x:v>
      </x:c>
      <x:c r="H227" s="10" t="n">
        <x:f>E227-SUMIFS(E$5:E$304,$A$5:$A$304,$A227,$B$5:$B$304,$B227,$C$5:$C$304,"双分支固定")</x:f>
        <x:v>-0.0004513859775298057</x:v>
      </x:c>
      <x:c r="I227" s="10" t="n">
        <x:f>F227-SUMIFS(F$5:F$304,$A$5:$A$304,$A227,$B$5:$B$304,$B227,$C$5:$C$304,"双分支固定")</x:f>
        <x:v>-0.000656692296746364</x:v>
      </x:c>
    </x:row>
    <x:row r="228" ht="22" customHeight="1">
      <x:c r="A228" s="2" t="str">
        <x:v>toothbrush</x:v>
      </x:c>
      <x:c r="B228" s="2" t="n">
        <x:v>0</x:v>
      </x:c>
      <x:c r="C228" s="2" t="str">
        <x:v>收缩0.25</x:v>
      </x:c>
      <x:c r="D228" s="9" t="n">
        <x:v>1</x:v>
      </x:c>
      <x:c r="E228" s="9" t="n">
        <x:v>0.9864149077983083</x:v>
      </x:c>
      <x:c r="F228" s="9" t="n">
        <x:v>0.981017633991631</x:v>
      </x:c>
      <x:c r="G228" s="10" t="n">
        <x:f>D228-SUMIFS(D$5:D$304,$A$5:$A$304,$A228,$B$5:$B$304,$B228,$C$5:$C$304,"双分支固定")</x:f>
        <x:v>0</x:v>
      </x:c>
      <x:c r="H228" s="10" t="n">
        <x:f>E228-SUMIFS(E$5:E$304,$A$5:$A$304,$A228,$B$5:$B$304,$B228,$C$5:$C$304,"双分支固定")</x:f>
        <x:v>-0.00006710717587299353</x:v>
      </x:c>
      <x:c r="I228" s="10" t="n">
        <x:f>F228-SUMIFS(F$5:F$304,$A$5:$A$304,$A228,$B$5:$B$304,$B228,$C$5:$C$304,"双分支固定")</x:f>
        <x:v>-0.00010619598823158327</x:v>
      </x:c>
    </x:row>
    <x:row r="229" ht="22" customHeight="1">
      <x:c r="A229" s="2" t="str">
        <x:v>toothbrush</x:v>
      </x:c>
      <x:c r="B229" s="2" t="n">
        <x:v>1</x:v>
      </x:c>
      <x:c r="C229" s="2" t="str">
        <x:v>双分支固定</x:v>
      </x:c>
      <x:c r="D229" s="9" t="n">
        <x:v>0.9972222222222222</x:v>
      </x:c>
      <x:c r="E229" s="9" t="n">
        <x:v>0.9860677767677672</x:v>
      </x:c>
      <x:c r="F229" s="9" t="n">
        <x:v>0.980630505734735</x:v>
      </x:c>
      <x:c r="G229" s="10" t="n">
        <x:f>D229-SUMIFS(D$5:D$304,$A$5:$A$304,$A229,$B$5:$B$304,$B229,$C$5:$C$304,"双分支固定")</x:f>
        <x:v>0</x:v>
      </x:c>
      <x:c r="H229" s="10" t="n">
        <x:f>E229-SUMIFS(E$5:E$304,$A$5:$A$304,$A229,$B$5:$B$304,$B229,$C$5:$C$304,"双分支固定")</x:f>
        <x:v>0</x:v>
      </x:c>
      <x:c r="I229" s="10" t="n">
        <x:f>F229-SUMIFS(F$5:F$304,$A$5:$A$304,$A229,$B$5:$B$304,$B229,$C$5:$C$304,"双分支固定")</x:f>
        <x:v>0</x:v>
      </x:c>
    </x:row>
    <x:row r="230" ht="22" customHeight="1">
      <x:c r="A230" s="2" t="str">
        <x:v>toothbrush</x:v>
      </x:c>
      <x:c r="B230" s="2" t="n">
        <x:v>1</x:v>
      </x:c>
      <x:c r="C230" s="2" t="str">
        <x:v>门控加收缩</x:v>
      </x:c>
      <x:c r="D230" s="9" t="n">
        <x:v>0.9972222222222222</x:v>
      </x:c>
      <x:c r="E230" s="9" t="n">
        <x:v>0.9860099574520403</x:v>
      </x:c>
      <x:c r="F230" s="9" t="n">
        <x:v>0.9805364334090537</x:v>
      </x:c>
      <x:c r="G230" s="10" t="n">
        <x:f>D230-SUMIFS(D$5:D$304,$A$5:$A$304,$A230,$B$5:$B$304,$B230,$C$5:$C$304,"双分支固定")</x:f>
        <x:v>0</x:v>
      </x:c>
      <x:c r="H230" s="10" t="n">
        <x:f>E230-SUMIFS(E$5:E$304,$A$5:$A$304,$A230,$B$5:$B$304,$B230,$C$5:$C$304,"双分支固定")</x:f>
        <x:v>-0.000057819315726903575</x:v>
      </x:c>
      <x:c r="I230" s="10" t="n">
        <x:f>F230-SUMIFS(F$5:F$304,$A$5:$A$304,$A230,$B$5:$B$304,$B230,$C$5:$C$304,"双分支固定")</x:f>
        <x:v>-0.00009407232568126034</x:v>
      </x:c>
    </x:row>
    <x:row r="231" ht="22" customHeight="1">
      <x:c r="A231" s="2" t="str">
        <x:v>toothbrush</x:v>
      </x:c>
      <x:c r="B231" s="2" t="n">
        <x:v>1</x:v>
      </x:c>
      <x:c r="C231" s="2" t="str">
        <x:v>像素敏感性</x:v>
      </x:c>
      <x:c r="D231" s="9" t="n">
        <x:v>0.9972222222222222</x:v>
      </x:c>
      <x:c r="E231" s="9" t="n">
        <x:v>0.9855051066420533</x:v>
      </x:c>
      <x:c r="F231" s="9" t="n">
        <x:v>0.9798296437004672</x:v>
      </x:c>
      <x:c r="G231" s="10" t="n">
        <x:f>D231-SUMIFS(D$5:D$304,$A$5:$A$304,$A231,$B$5:$B$304,$B231,$C$5:$C$304,"双分支固定")</x:f>
        <x:v>0</x:v>
      </x:c>
      <x:c r="H231" s="10" t="n">
        <x:f>E231-SUMIFS(E$5:E$304,$A$5:$A$304,$A231,$B$5:$B$304,$B231,$C$5:$C$304,"双分支固定")</x:f>
        <x:v>-0.0005626701257139821</x:v>
      </x:c>
      <x:c r="I231" s="10" t="n">
        <x:f>F231-SUMIFS(F$5:F$304,$A$5:$A$304,$A231,$B$5:$B$304,$B231,$C$5:$C$304,"双分支固定")</x:f>
        <x:v>-0.0008008620342677686</x:v>
      </x:c>
    </x:row>
    <x:row r="232" ht="22" customHeight="1">
      <x:c r="A232" s="2" t="str">
        <x:v>toothbrush</x:v>
      </x:c>
      <x:c r="B232" s="2" t="n">
        <x:v>1</x:v>
      </x:c>
      <x:c r="C232" s="2" t="str">
        <x:v>收缩0.25</x:v>
      </x:c>
      <x:c r="D232" s="9" t="n">
        <x:v>0.9972222222222222</x:v>
      </x:c>
      <x:c r="E232" s="9" t="n">
        <x:v>0.9860099574520403</x:v>
      </x:c>
      <x:c r="F232" s="9" t="n">
        <x:v>0.9805364334090537</x:v>
      </x:c>
      <x:c r="G232" s="10" t="n">
        <x:f>D232-SUMIFS(D$5:D$304,$A$5:$A$304,$A232,$B$5:$B$304,$B232,$C$5:$C$304,"双分支固定")</x:f>
        <x:v>0</x:v>
      </x:c>
      <x:c r="H232" s="10" t="n">
        <x:f>E232-SUMIFS(E$5:E$304,$A$5:$A$304,$A232,$B$5:$B$304,$B232,$C$5:$C$304,"双分支固定")</x:f>
        <x:v>-0.000057819315726903575</x:v>
      </x:c>
      <x:c r="I232" s="10" t="n">
        <x:f>F232-SUMIFS(F$5:F$304,$A$5:$A$304,$A232,$B$5:$B$304,$B232,$C$5:$C$304,"双分支固定")</x:f>
        <x:v>-0.00009407232568126034</x:v>
      </x:c>
    </x:row>
    <x:row r="233" ht="22" customHeight="1">
      <x:c r="A233" s="2" t="str">
        <x:v>toothbrush</x:v>
      </x:c>
      <x:c r="B233" s="2" t="n">
        <x:v>2</x:v>
      </x:c>
      <x:c r="C233" s="2" t="str">
        <x:v>双分支固定</x:v>
      </x:c>
      <x:c r="D233" s="9" t="n">
        <x:v>1</x:v>
      </x:c>
      <x:c r="E233" s="9" t="n">
        <x:v>0.985733461304323</x:v>
      </x:c>
      <x:c r="F233" s="9" t="n">
        <x:v>0.9803246767322568</x:v>
      </x:c>
      <x:c r="G233" s="10" t="n">
        <x:f>D233-SUMIFS(D$5:D$304,$A$5:$A$304,$A233,$B$5:$B$304,$B233,$C$5:$C$304,"双分支固定")</x:f>
        <x:v>0</x:v>
      </x:c>
      <x:c r="H233" s="10" t="n">
        <x:f>E233-SUMIFS(E$5:E$304,$A$5:$A$304,$A233,$B$5:$B$304,$B233,$C$5:$C$304,"双分支固定")</x:f>
        <x:v>0</x:v>
      </x:c>
      <x:c r="I233" s="10" t="n">
        <x:f>F233-SUMIFS(F$5:F$304,$A$5:$A$304,$A233,$B$5:$B$304,$B233,$C$5:$C$304,"双分支固定")</x:f>
        <x:v>0</x:v>
      </x:c>
    </x:row>
    <x:row r="234" ht="22" customHeight="1">
      <x:c r="A234" s="2" t="str">
        <x:v>toothbrush</x:v>
      </x:c>
      <x:c r="B234" s="2" t="n">
        <x:v>2</x:v>
      </x:c>
      <x:c r="C234" s="2" t="str">
        <x:v>门控加收缩</x:v>
      </x:c>
      <x:c r="D234" s="9" t="n">
        <x:v>1</x:v>
      </x:c>
      <x:c r="E234" s="9" t="n">
        <x:v>0.985733461304323</x:v>
      </x:c>
      <x:c r="F234" s="9" t="n">
        <x:v>0.9803246767322568</x:v>
      </x:c>
      <x:c r="G234" s="10" t="n">
        <x:f>D234-SUMIFS(D$5:D$304,$A$5:$A$304,$A234,$B$5:$B$304,$B234,$C$5:$C$304,"双分支固定")</x:f>
        <x:v>0</x:v>
      </x:c>
      <x:c r="H234" s="10" t="n">
        <x:f>E234-SUMIFS(E$5:E$304,$A$5:$A$304,$A234,$B$5:$B$304,$B234,$C$5:$C$304,"双分支固定")</x:f>
        <x:v>0</x:v>
      </x:c>
      <x:c r="I234" s="10" t="n">
        <x:f>F234-SUMIFS(F$5:F$304,$A$5:$A$304,$A234,$B$5:$B$304,$B234,$C$5:$C$304,"双分支固定")</x:f>
        <x:v>0</x:v>
      </x:c>
    </x:row>
    <x:row r="235" ht="22" customHeight="1">
      <x:c r="A235" s="2" t="str">
        <x:v>toothbrush</x:v>
      </x:c>
      <x:c r="B235" s="2" t="n">
        <x:v>2</x:v>
      </x:c>
      <x:c r="C235" s="2" t="str">
        <x:v>像素敏感性</x:v>
      </x:c>
      <x:c r="D235" s="9" t="n">
        <x:v>1</x:v>
      </x:c>
      <x:c r="E235" s="9" t="n">
        <x:v>0.981638541579645</x:v>
      </x:c>
      <x:c r="F235" s="9" t="n">
        <x:v>0.9752742940113772</x:v>
      </x:c>
      <x:c r="G235" s="10" t="n">
        <x:f>D235-SUMIFS(D$5:D$304,$A$5:$A$304,$A235,$B$5:$B$304,$B235,$C$5:$C$304,"双分支固定")</x:f>
        <x:v>0</x:v>
      </x:c>
      <x:c r="H235" s="10" t="n">
        <x:f>E235-SUMIFS(E$5:E$304,$A$5:$A$304,$A235,$B$5:$B$304,$B235,$C$5:$C$304,"双分支固定")</x:f>
        <x:v>-0.0040949197246780145</x:v>
      </x:c>
      <x:c r="I235" s="10" t="n">
        <x:f>F235-SUMIFS(F$5:F$304,$A$5:$A$304,$A235,$B$5:$B$304,$B235,$C$5:$C$304,"双分支固定")</x:f>
        <x:v>-0.005050382720879543</x:v>
      </x:c>
    </x:row>
    <x:row r="236" ht="22" customHeight="1">
      <x:c r="A236" s="2" t="str">
        <x:v>toothbrush</x:v>
      </x:c>
      <x:c r="B236" s="2" t="n">
        <x:v>2</x:v>
      </x:c>
      <x:c r="C236" s="2" t="str">
        <x:v>收缩0.25</x:v>
      </x:c>
      <x:c r="D236" s="9" t="n">
        <x:v>1</x:v>
      </x:c>
      <x:c r="E236" s="9" t="n">
        <x:v>0.9853259449926687</x:v>
      </x:c>
      <x:c r="F236" s="9" t="n">
        <x:v>0.9798005813085102</x:v>
      </x:c>
      <x:c r="G236" s="10" t="n">
        <x:f>D236-SUMIFS(D$5:D$304,$A$5:$A$304,$A236,$B$5:$B$304,$B236,$C$5:$C$304,"双分支固定")</x:f>
        <x:v>0</x:v>
      </x:c>
      <x:c r="H236" s="10" t="n">
        <x:f>E236-SUMIFS(E$5:E$304,$A$5:$A$304,$A236,$B$5:$B$304,$B236,$C$5:$C$304,"双分支固定")</x:f>
        <x:v>-0.00040751631165436564</x:v>
      </x:c>
      <x:c r="I236" s="10" t="n">
        <x:f>F236-SUMIFS(F$5:F$304,$A$5:$A$304,$A236,$B$5:$B$304,$B236,$C$5:$C$304,"双分支固定")</x:f>
        <x:v>-0.0005240954237465401</x:v>
      </x:c>
    </x:row>
    <x:row r="237" ht="22" customHeight="1">
      <x:c r="A237" s="2" t="str">
        <x:v>toothbrush</x:v>
      </x:c>
      <x:c r="B237" s="2" t="n">
        <x:v>3</x:v>
      </x:c>
      <x:c r="C237" s="2" t="str">
        <x:v>双分支固定</x:v>
      </x:c>
      <x:c r="D237" s="9" t="n">
        <x:v>1</x:v>
      </x:c>
      <x:c r="E237" s="9" t="n">
        <x:v>0.9858780903064798</x:v>
      </x:c>
      <x:c r="F237" s="9" t="n">
        <x:v>0.9803913118014733</x:v>
      </x:c>
      <x:c r="G237" s="10" t="n">
        <x:f>D237-SUMIFS(D$5:D$304,$A$5:$A$304,$A237,$B$5:$B$304,$B237,$C$5:$C$304,"双分支固定")</x:f>
        <x:v>0</x:v>
      </x:c>
      <x:c r="H237" s="10" t="n">
        <x:f>E237-SUMIFS(E$5:E$304,$A$5:$A$304,$A237,$B$5:$B$304,$B237,$C$5:$C$304,"双分支固定")</x:f>
        <x:v>0</x:v>
      </x:c>
      <x:c r="I237" s="10" t="n">
        <x:f>F237-SUMIFS(F$5:F$304,$A$5:$A$304,$A237,$B$5:$B$304,$B237,$C$5:$C$304,"双分支固定")</x:f>
        <x:v>0</x:v>
      </x:c>
    </x:row>
    <x:row r="238" ht="22" customHeight="1">
      <x:c r="A238" s="2" t="str">
        <x:v>toothbrush</x:v>
      </x:c>
      <x:c r="B238" s="2" t="n">
        <x:v>3</x:v>
      </x:c>
      <x:c r="C238" s="2" t="str">
        <x:v>门控加收缩</x:v>
      </x:c>
      <x:c r="D238" s="9" t="n">
        <x:v>1</x:v>
      </x:c>
      <x:c r="E238" s="9" t="n">
        <x:v>0.985886351257146</x:v>
      </x:c>
      <x:c r="F238" s="9" t="n">
        <x:v>0.9803938816543699</x:v>
      </x:c>
      <x:c r="G238" s="10" t="n">
        <x:f>D238-SUMIFS(D$5:D$304,$A$5:$A$304,$A238,$B$5:$B$304,$B238,$C$5:$C$304,"双分支固定")</x:f>
        <x:v>0</x:v>
      </x:c>
      <x:c r="H238" s="10" t="n">
        <x:f>E238-SUMIFS(E$5:E$304,$A$5:$A$304,$A238,$B$5:$B$304,$B238,$C$5:$C$304,"双分支固定")</x:f>
        <x:v>0.000008260950666194589</x:v>
      </x:c>
      <x:c r="I238" s="10" t="n">
        <x:f>F238-SUMIFS(F$5:F$304,$A$5:$A$304,$A238,$B$5:$B$304,$B238,$C$5:$C$304,"双分支固定")</x:f>
        <x:v>0.0000025698528965945044</x:v>
      </x:c>
    </x:row>
    <x:row r="239" ht="22" customHeight="1">
      <x:c r="A239" s="2" t="str">
        <x:v>toothbrush</x:v>
      </x:c>
      <x:c r="B239" s="2" t="n">
        <x:v>3</x:v>
      </x:c>
      <x:c r="C239" s="2" t="str">
        <x:v>像素敏感性</x:v>
      </x:c>
      <x:c r="D239" s="9" t="n">
        <x:v>1</x:v>
      </x:c>
      <x:c r="E239" s="9" t="n">
        <x:v>0.9857321446770873</x:v>
      </x:c>
      <x:c r="F239" s="9" t="n">
        <x:v>0.9801686644446003</x:v>
      </x:c>
      <x:c r="G239" s="10" t="n">
        <x:f>D239-SUMIFS(D$5:D$304,$A$5:$A$304,$A239,$B$5:$B$304,$B239,$C$5:$C$304,"双分支固定")</x:f>
        <x:v>0</x:v>
      </x:c>
      <x:c r="H239" s="10" t="n">
        <x:f>E239-SUMIFS(E$5:E$304,$A$5:$A$304,$A239,$B$5:$B$304,$B239,$C$5:$C$304,"双分支固定")</x:f>
        <x:v>-0.00014594562939251876</x:v>
      </x:c>
      <x:c r="I239" s="10" t="n">
        <x:f>F239-SUMIFS(F$5:F$304,$A$5:$A$304,$A239,$B$5:$B$304,$B239,$C$5:$C$304,"双分支固定")</x:f>
        <x:v>-0.00022264735687305137</x:v>
      </x:c>
    </x:row>
    <x:row r="240" ht="22" customHeight="1">
      <x:c r="A240" s="2" t="str">
        <x:v>toothbrush</x:v>
      </x:c>
      <x:c r="B240" s="2" t="n">
        <x:v>3</x:v>
      </x:c>
      <x:c r="C240" s="2" t="str">
        <x:v>收缩0.25</x:v>
      </x:c>
      <x:c r="D240" s="9" t="n">
        <x:v>1</x:v>
      </x:c>
      <x:c r="E240" s="9" t="n">
        <x:v>0.985886351257146</x:v>
      </x:c>
      <x:c r="F240" s="9" t="n">
        <x:v>0.9803938816543699</x:v>
      </x:c>
      <x:c r="G240" s="10" t="n">
        <x:f>D240-SUMIFS(D$5:D$304,$A$5:$A$304,$A240,$B$5:$B$304,$B240,$C$5:$C$304,"双分支固定")</x:f>
        <x:v>0</x:v>
      </x:c>
      <x:c r="H240" s="10" t="n">
        <x:f>E240-SUMIFS(E$5:E$304,$A$5:$A$304,$A240,$B$5:$B$304,$B240,$C$5:$C$304,"双分支固定")</x:f>
        <x:v>0.000008260950666194589</x:v>
      </x:c>
      <x:c r="I240" s="10" t="n">
        <x:f>F240-SUMIFS(F$5:F$304,$A$5:$A$304,$A240,$B$5:$B$304,$B240,$C$5:$C$304,"双分支固定")</x:f>
        <x:v>0.0000025698528965945044</x:v>
      </x:c>
    </x:row>
    <x:row r="241" ht="22" customHeight="1">
      <x:c r="A241" s="2" t="str">
        <x:v>toothbrush</x:v>
      </x:c>
      <x:c r="B241" s="2" t="n">
        <x:v>4</x:v>
      </x:c>
      <x:c r="C241" s="2" t="str">
        <x:v>双分支固定</x:v>
      </x:c>
      <x:c r="D241" s="9" t="n">
        <x:v>0.9916666666666667</x:v>
      </x:c>
      <x:c r="E241" s="9" t="n">
        <x:v>0.9865748347402723</x:v>
      </x:c>
      <x:c r="F241" s="9" t="n">
        <x:v>0.981256301245267</x:v>
      </x:c>
      <x:c r="G241" s="10" t="n">
        <x:f>D241-SUMIFS(D$5:D$304,$A$5:$A$304,$A241,$B$5:$B$304,$B241,$C$5:$C$304,"双分支固定")</x:f>
        <x:v>0</x:v>
      </x:c>
      <x:c r="H241" s="10" t="n">
        <x:f>E241-SUMIFS(E$5:E$304,$A$5:$A$304,$A241,$B$5:$B$304,$B241,$C$5:$C$304,"双分支固定")</x:f>
        <x:v>0</x:v>
      </x:c>
      <x:c r="I241" s="10" t="n">
        <x:f>F241-SUMIFS(F$5:F$304,$A$5:$A$304,$A241,$B$5:$B$304,$B241,$C$5:$C$304,"双分支固定")</x:f>
        <x:v>0</x:v>
      </x:c>
    </x:row>
    <x:row r="242" ht="22" customHeight="1">
      <x:c r="A242" s="2" t="str">
        <x:v>toothbrush</x:v>
      </x:c>
      <x:c r="B242" s="2" t="n">
        <x:v>4</x:v>
      </x:c>
      <x:c r="C242" s="2" t="str">
        <x:v>门控加收缩</x:v>
      </x:c>
      <x:c r="D242" s="9" t="n">
        <x:v>0.9916666666666667</x:v>
      </x:c>
      <x:c r="E242" s="9" t="n">
        <x:v>0.9865748347402723</x:v>
      </x:c>
      <x:c r="F242" s="9" t="n">
        <x:v>0.981256301245267</x:v>
      </x:c>
      <x:c r="G242" s="10" t="n">
        <x:f>D242-SUMIFS(D$5:D$304,$A$5:$A$304,$A242,$B$5:$B$304,$B242,$C$5:$C$304,"双分支固定")</x:f>
        <x:v>0</x:v>
      </x:c>
      <x:c r="H242" s="10" t="n">
        <x:f>E242-SUMIFS(E$5:E$304,$A$5:$A$304,$A242,$B$5:$B$304,$B242,$C$5:$C$304,"双分支固定")</x:f>
        <x:v>0</x:v>
      </x:c>
      <x:c r="I242" s="10" t="n">
        <x:f>F242-SUMIFS(F$5:F$304,$A$5:$A$304,$A242,$B$5:$B$304,$B242,$C$5:$C$304,"双分支固定")</x:f>
        <x:v>0</x:v>
      </x:c>
    </x:row>
    <x:row r="243" ht="22" customHeight="1">
      <x:c r="A243" s="2" t="str">
        <x:v>toothbrush</x:v>
      </x:c>
      <x:c r="B243" s="2" t="n">
        <x:v>4</x:v>
      </x:c>
      <x:c r="C243" s="2" t="str">
        <x:v>像素敏感性</x:v>
      </x:c>
      <x:c r="D243" s="9" t="n">
        <x:v>0.9916666666666667</x:v>
      </x:c>
      <x:c r="E243" s="9" t="n">
        <x:v>0.9862502680346961</x:v>
      </x:c>
      <x:c r="F243" s="9" t="n">
        <x:v>0.9808121279500258</x:v>
      </x:c>
      <x:c r="G243" s="10" t="n">
        <x:f>D243-SUMIFS(D$5:D$304,$A$5:$A$304,$A243,$B$5:$B$304,$B243,$C$5:$C$304,"双分支固定")</x:f>
        <x:v>0</x:v>
      </x:c>
      <x:c r="H243" s="10" t="n">
        <x:f>E243-SUMIFS(E$5:E$304,$A$5:$A$304,$A243,$B$5:$B$304,$B243,$C$5:$C$304,"双分支固定")</x:f>
        <x:v>-0.0003245667055762347</x:v>
      </x:c>
      <x:c r="I243" s="10" t="n">
        <x:f>F243-SUMIFS(F$5:F$304,$A$5:$A$304,$A243,$B$5:$B$304,$B243,$C$5:$C$304,"双分支固定")</x:f>
        <x:v>-0.000444173295241157</x:v>
      </x:c>
    </x:row>
    <x:row r="244" ht="22" customHeight="1">
      <x:c r="A244" s="2" t="str">
        <x:v>toothbrush</x:v>
      </x:c>
      <x:c r="B244" s="2" t="n">
        <x:v>4</x:v>
      </x:c>
      <x:c r="C244" s="2" t="str">
        <x:v>收缩0.25</x:v>
      </x:c>
      <x:c r="D244" s="9" t="n">
        <x:v>0.9916666666666667</x:v>
      </x:c>
      <x:c r="E244" s="9" t="n">
        <x:v>0.9865487416245466</x:v>
      </x:c>
      <x:c r="F244" s="9" t="n">
        <x:v>0.9812170081582811</x:v>
      </x:c>
      <x:c r="G244" s="10" t="n">
        <x:f>D244-SUMIFS(D$5:D$304,$A$5:$A$304,$A244,$B$5:$B$304,$B244,$C$5:$C$304,"双分支固定")</x:f>
        <x:v>0</x:v>
      </x:c>
      <x:c r="H244" s="10" t="n">
        <x:f>E244-SUMIFS(E$5:E$304,$A$5:$A$304,$A244,$B$5:$B$304,$B244,$C$5:$C$304,"双分支固定")</x:f>
        <x:v>-0.00002609311572565609</x:v>
      </x:c>
      <x:c r="I244" s="10" t="n">
        <x:f>F244-SUMIFS(F$5:F$304,$A$5:$A$304,$A244,$B$5:$B$304,$B244,$C$5:$C$304,"双分支固定")</x:f>
        <x:v>-0.00003929308698591427</x:v>
      </x:c>
    </x:row>
    <x:row r="245" ht="22" customHeight="1">
      <x:c r="A245" s="2" t="str">
        <x:v>transistor</x:v>
      </x:c>
      <x:c r="B245" s="2" t="n">
        <x:v>0</x:v>
      </x:c>
      <x:c r="C245" s="2" t="str">
        <x:v>双分支固定</x:v>
      </x:c>
      <x:c r="D245" s="9" t="n">
        <x:v>0.9920833333333334</x:v>
      </x:c>
      <x:c r="E245" s="9" t="n">
        <x:v>0.9597278317400247</x:v>
      </x:c>
      <x:c r="F245" s="9" t="n">
        <x:v>0.9269142021833036</x:v>
      </x:c>
      <x:c r="G245" s="10" t="n">
        <x:f>D245-SUMIFS(D$5:D$304,$A$5:$A$304,$A245,$B$5:$B$304,$B245,$C$5:$C$304,"双分支固定")</x:f>
        <x:v>0</x:v>
      </x:c>
      <x:c r="H245" s="10" t="n">
        <x:f>E245-SUMIFS(E$5:E$304,$A$5:$A$304,$A245,$B$5:$B$304,$B245,$C$5:$C$304,"双分支固定")</x:f>
        <x:v>0</x:v>
      </x:c>
      <x:c r="I245" s="10" t="n">
        <x:f>F245-SUMIFS(F$5:F$304,$A$5:$A$304,$A245,$B$5:$B$304,$B245,$C$5:$C$304,"双分支固定")</x:f>
        <x:v>0</x:v>
      </x:c>
    </x:row>
    <x:row r="246" ht="22" customHeight="1">
      <x:c r="A246" s="2" t="str">
        <x:v>transistor</x:v>
      </x:c>
      <x:c r="B246" s="2" t="n">
        <x:v>0</x:v>
      </x:c>
      <x:c r="C246" s="2" t="str">
        <x:v>门控加收缩</x:v>
      </x:c>
      <x:c r="D246" s="9" t="n">
        <x:v>0.9920833333333334</x:v>
      </x:c>
      <x:c r="E246" s="9" t="n">
        <x:v>0.9597278317400247</x:v>
      </x:c>
      <x:c r="F246" s="9" t="n">
        <x:v>0.9269142021833036</x:v>
      </x:c>
      <x:c r="G246" s="10" t="n">
        <x:f>D246-SUMIFS(D$5:D$304,$A$5:$A$304,$A246,$B$5:$B$304,$B246,$C$5:$C$304,"双分支固定")</x:f>
        <x:v>0</x:v>
      </x:c>
      <x:c r="H246" s="10" t="n">
        <x:f>E246-SUMIFS(E$5:E$304,$A$5:$A$304,$A246,$B$5:$B$304,$B246,$C$5:$C$304,"双分支固定")</x:f>
        <x:v>0</x:v>
      </x:c>
      <x:c r="I246" s="10" t="n">
        <x:f>F246-SUMIFS(F$5:F$304,$A$5:$A$304,$A246,$B$5:$B$304,$B246,$C$5:$C$304,"双分支固定")</x:f>
        <x:v>0</x:v>
      </x:c>
    </x:row>
    <x:row r="247" ht="22" customHeight="1">
      <x:c r="A247" s="2" t="str">
        <x:v>transistor</x:v>
      </x:c>
      <x:c r="B247" s="2" t="n">
        <x:v>0</x:v>
      </x:c>
      <x:c r="C247" s="2" t="str">
        <x:v>像素敏感性</x:v>
      </x:c>
      <x:c r="D247" s="9" t="n">
        <x:v>0.9920833333333334</x:v>
      </x:c>
      <x:c r="E247" s="9" t="n">
        <x:v>0.9161870990019154</x:v>
      </x:c>
      <x:c r="F247" s="9" t="n">
        <x:v>0.8824011198425896</x:v>
      </x:c>
      <x:c r="G247" s="10" t="n">
        <x:f>D247-SUMIFS(D$5:D$304,$A$5:$A$304,$A247,$B$5:$B$304,$B247,$C$5:$C$304,"双分支固定")</x:f>
        <x:v>0</x:v>
      </x:c>
      <x:c r="H247" s="10" t="n">
        <x:f>E247-SUMIFS(E$5:E$304,$A$5:$A$304,$A247,$B$5:$B$304,$B247,$C$5:$C$304,"双分支固定")</x:f>
        <x:v>-0.04354073273810932</x:v>
      </x:c>
      <x:c r="I247" s="10" t="n">
        <x:f>F247-SUMIFS(F$5:F$304,$A$5:$A$304,$A247,$B$5:$B$304,$B247,$C$5:$C$304,"双分支固定")</x:f>
        <x:v>-0.04451308234071394</x:v>
      </x:c>
    </x:row>
    <x:row r="248" ht="22" customHeight="1">
      <x:c r="A248" s="2" t="str">
        <x:v>transistor</x:v>
      </x:c>
      <x:c r="B248" s="2" t="n">
        <x:v>0</x:v>
      </x:c>
      <x:c r="C248" s="2" t="str">
        <x:v>收缩0.25</x:v>
      </x:c>
      <x:c r="D248" s="9" t="n">
        <x:v>0.9920833333333334</x:v>
      </x:c>
      <x:c r="E248" s="9" t="n">
        <x:v>0.9540331386595372</x:v>
      </x:c>
      <x:c r="F248" s="9" t="n">
        <x:v>0.9204224677305688</x:v>
      </x:c>
      <x:c r="G248" s="10" t="n">
        <x:f>D248-SUMIFS(D$5:D$304,$A$5:$A$304,$A248,$B$5:$B$304,$B248,$C$5:$C$304,"双分支固定")</x:f>
        <x:v>0</x:v>
      </x:c>
      <x:c r="H248" s="10" t="n">
        <x:f>E248-SUMIFS(E$5:E$304,$A$5:$A$304,$A248,$B$5:$B$304,$B248,$C$5:$C$304,"双分支固定")</x:f>
        <x:v>-0.005694693080487534</x:v>
      </x:c>
      <x:c r="I248" s="10" t="n">
        <x:f>F248-SUMIFS(F$5:F$304,$A$5:$A$304,$A248,$B$5:$B$304,$B248,$C$5:$C$304,"双分支固定")</x:f>
        <x:v>-0.006491734452734765</x:v>
      </x:c>
    </x:row>
    <x:row r="249" ht="22" customHeight="1">
      <x:c r="A249" s="2" t="str">
        <x:v>transistor</x:v>
      </x:c>
      <x:c r="B249" s="2" t="n">
        <x:v>1</x:v>
      </x:c>
      <x:c r="C249" s="2" t="str">
        <x:v>双分支固定</x:v>
      </x:c>
      <x:c r="D249" s="9" t="n">
        <x:v>0.9858333333333332</x:v>
      </x:c>
      <x:c r="E249" s="9" t="n">
        <x:v>0.9664572356753343</x:v>
      </x:c>
      <x:c r="F249" s="9" t="n">
        <x:v>0.9311574875843152</x:v>
      </x:c>
      <x:c r="G249" s="10" t="n">
        <x:f>D249-SUMIFS(D$5:D$304,$A$5:$A$304,$A249,$B$5:$B$304,$B249,$C$5:$C$304,"双分支固定")</x:f>
        <x:v>0</x:v>
      </x:c>
      <x:c r="H249" s="10" t="n">
        <x:f>E249-SUMIFS(E$5:E$304,$A$5:$A$304,$A249,$B$5:$B$304,$B249,$C$5:$C$304,"双分支固定")</x:f>
        <x:v>0</x:v>
      </x:c>
      <x:c r="I249" s="10" t="n">
        <x:f>F249-SUMIFS(F$5:F$304,$A$5:$A$304,$A249,$B$5:$B$304,$B249,$C$5:$C$304,"双分支固定")</x:f>
        <x:v>0</x:v>
      </x:c>
    </x:row>
    <x:row r="250" ht="22" customHeight="1">
      <x:c r="A250" s="2" t="str">
        <x:v>transistor</x:v>
      </x:c>
      <x:c r="B250" s="2" t="n">
        <x:v>1</x:v>
      </x:c>
      <x:c r="C250" s="2" t="str">
        <x:v>门控加收缩</x:v>
      </x:c>
      <x:c r="D250" s="9" t="n">
        <x:v>0.9858333333333332</x:v>
      </x:c>
      <x:c r="E250" s="9" t="n">
        <x:v>0.9664572356753343</x:v>
      </x:c>
      <x:c r="F250" s="9" t="n">
        <x:v>0.9311574875843152</x:v>
      </x:c>
      <x:c r="G250" s="10" t="n">
        <x:f>D250-SUMIFS(D$5:D$304,$A$5:$A$304,$A250,$B$5:$B$304,$B250,$C$5:$C$304,"双分支固定")</x:f>
        <x:v>0</x:v>
      </x:c>
      <x:c r="H250" s="10" t="n">
        <x:f>E250-SUMIFS(E$5:E$304,$A$5:$A$304,$A250,$B$5:$B$304,$B250,$C$5:$C$304,"双分支固定")</x:f>
        <x:v>0</x:v>
      </x:c>
      <x:c r="I250" s="10" t="n">
        <x:f>F250-SUMIFS(F$5:F$304,$A$5:$A$304,$A250,$B$5:$B$304,$B250,$C$5:$C$304,"双分支固定")</x:f>
        <x:v>0</x:v>
      </x:c>
    </x:row>
    <x:row r="251" ht="22" customHeight="1">
      <x:c r="A251" s="2" t="str">
        <x:v>transistor</x:v>
      </x:c>
      <x:c r="B251" s="2" t="n">
        <x:v>1</x:v>
      </x:c>
      <x:c r="C251" s="2" t="str">
        <x:v>像素敏感性</x:v>
      </x:c>
      <x:c r="D251" s="9" t="n">
        <x:v>0.9858333333333332</x:v>
      </x:c>
      <x:c r="E251" s="9" t="n">
        <x:v>0.9081866982460578</x:v>
      </x:c>
      <x:c r="F251" s="9" t="n">
        <x:v>0.872940826559068</x:v>
      </x:c>
      <x:c r="G251" s="10" t="n">
        <x:f>D251-SUMIFS(D$5:D$304,$A$5:$A$304,$A251,$B$5:$B$304,$B251,$C$5:$C$304,"双分支固定")</x:f>
        <x:v>0</x:v>
      </x:c>
      <x:c r="H251" s="10" t="n">
        <x:f>E251-SUMIFS(E$5:E$304,$A$5:$A$304,$A251,$B$5:$B$304,$B251,$C$5:$C$304,"双分支固定")</x:f>
        <x:v>-0.05827053742927646</x:v>
      </x:c>
      <x:c r="I251" s="10" t="n">
        <x:f>F251-SUMIFS(F$5:F$304,$A$5:$A$304,$A251,$B$5:$B$304,$B251,$C$5:$C$304,"双分支固定")</x:f>
        <x:v>-0.05821666102524714</x:v>
      </x:c>
    </x:row>
    <x:row r="252" ht="22" customHeight="1">
      <x:c r="A252" s="2" t="str">
        <x:v>transistor</x:v>
      </x:c>
      <x:c r="B252" s="2" t="n">
        <x:v>1</x:v>
      </x:c>
      <x:c r="C252" s="2" t="str">
        <x:v>收缩0.25</x:v>
      </x:c>
      <x:c r="D252" s="9" t="n">
        <x:v>0.9858333333333332</x:v>
      </x:c>
      <x:c r="E252" s="9" t="n">
        <x:v>0.9594804398023182</x:v>
      </x:c>
      <x:c r="F252" s="9" t="n">
        <x:v>0.9231285761179489</x:v>
      </x:c>
      <x:c r="G252" s="10" t="n">
        <x:f>D252-SUMIFS(D$5:D$304,$A$5:$A$304,$A252,$B$5:$B$304,$B252,$C$5:$C$304,"双分支固定")</x:f>
        <x:v>0</x:v>
      </x:c>
      <x:c r="H252" s="10" t="n">
        <x:f>E252-SUMIFS(E$5:E$304,$A$5:$A$304,$A252,$B$5:$B$304,$B252,$C$5:$C$304,"双分支固定")</x:f>
        <x:v>-0.0069767958730160284</x:v>
      </x:c>
      <x:c r="I252" s="10" t="n">
        <x:f>F252-SUMIFS(F$5:F$304,$A$5:$A$304,$A252,$B$5:$B$304,$B252,$C$5:$C$304,"双分支固定")</x:f>
        <x:v>-0.008028911466366306</x:v>
      </x:c>
    </x:row>
    <x:row r="253" ht="22" customHeight="1">
      <x:c r="A253" s="2" t="str">
        <x:v>transistor</x:v>
      </x:c>
      <x:c r="B253" s="2" t="n">
        <x:v>2</x:v>
      </x:c>
      <x:c r="C253" s="2" t="str">
        <x:v>双分支固定</x:v>
      </x:c>
      <x:c r="D253" s="9" t="n">
        <x:v>0.96375</x:v>
      </x:c>
      <x:c r="E253" s="9" t="n">
        <x:v>0.954758491005028</x:v>
      </x:c>
      <x:c r="F253" s="9" t="n">
        <x:v>0.923204956817551</x:v>
      </x:c>
      <x:c r="G253" s="10" t="n">
        <x:f>D253-SUMIFS(D$5:D$304,$A$5:$A$304,$A253,$B$5:$B$304,$B253,$C$5:$C$304,"双分支固定")</x:f>
        <x:v>0</x:v>
      </x:c>
      <x:c r="H253" s="10" t="n">
        <x:f>E253-SUMIFS(E$5:E$304,$A$5:$A$304,$A253,$B$5:$B$304,$B253,$C$5:$C$304,"双分支固定")</x:f>
        <x:v>0</x:v>
      </x:c>
      <x:c r="I253" s="10" t="n">
        <x:f>F253-SUMIFS(F$5:F$304,$A$5:$A$304,$A253,$B$5:$B$304,$B253,$C$5:$C$304,"双分支固定")</x:f>
        <x:v>0</x:v>
      </x:c>
    </x:row>
    <x:row r="254" ht="22" customHeight="1">
      <x:c r="A254" s="2" t="str">
        <x:v>transistor</x:v>
      </x:c>
      <x:c r="B254" s="2" t="n">
        <x:v>2</x:v>
      </x:c>
      <x:c r="C254" s="2" t="str">
        <x:v>门控加收缩</x:v>
      </x:c>
      <x:c r="D254" s="9" t="n">
        <x:v>0.96375</x:v>
      </x:c>
      <x:c r="E254" s="9" t="n">
        <x:v>0.954758491005028</x:v>
      </x:c>
      <x:c r="F254" s="9" t="n">
        <x:v>0.923204956817551</x:v>
      </x:c>
      <x:c r="G254" s="10" t="n">
        <x:f>D254-SUMIFS(D$5:D$304,$A$5:$A$304,$A254,$B$5:$B$304,$B254,$C$5:$C$304,"双分支固定")</x:f>
        <x:v>0</x:v>
      </x:c>
      <x:c r="H254" s="10" t="n">
        <x:f>E254-SUMIFS(E$5:E$304,$A$5:$A$304,$A254,$B$5:$B$304,$B254,$C$5:$C$304,"双分支固定")</x:f>
        <x:v>0</x:v>
      </x:c>
      <x:c r="I254" s="10" t="n">
        <x:f>F254-SUMIFS(F$5:F$304,$A$5:$A$304,$A254,$B$5:$B$304,$B254,$C$5:$C$304,"双分支固定")</x:f>
        <x:v>0</x:v>
      </x:c>
    </x:row>
    <x:row r="255" ht="22" customHeight="1">
      <x:c r="A255" s="2" t="str">
        <x:v>transistor</x:v>
      </x:c>
      <x:c r="B255" s="2" t="n">
        <x:v>2</x:v>
      </x:c>
      <x:c r="C255" s="2" t="str">
        <x:v>像素敏感性</x:v>
      </x:c>
      <x:c r="D255" s="9" t="n">
        <x:v>0.96375</x:v>
      </x:c>
      <x:c r="E255" s="9" t="n">
        <x:v>0.9062542955054848</x:v>
      </x:c>
      <x:c r="F255" s="9" t="n">
        <x:v>0.87404344805807</x:v>
      </x:c>
      <x:c r="G255" s="10" t="n">
        <x:f>D255-SUMIFS(D$5:D$304,$A$5:$A$304,$A255,$B$5:$B$304,$B255,$C$5:$C$304,"双分支固定")</x:f>
        <x:v>0</x:v>
      </x:c>
      <x:c r="H255" s="10" t="n">
        <x:f>E255-SUMIFS(E$5:E$304,$A$5:$A$304,$A255,$B$5:$B$304,$B255,$C$5:$C$304,"双分支固定")</x:f>
        <x:v>-0.04850419549954321</x:v>
      </x:c>
      <x:c r="I255" s="10" t="n">
        <x:f>F255-SUMIFS(F$5:F$304,$A$5:$A$304,$A255,$B$5:$B$304,$B255,$C$5:$C$304,"双分支固定")</x:f>
        <x:v>-0.049161508759481</x:v>
      </x:c>
    </x:row>
    <x:row r="256" ht="22" customHeight="1">
      <x:c r="A256" s="2" t="str">
        <x:v>transistor</x:v>
      </x:c>
      <x:c r="B256" s="2" t="n">
        <x:v>2</x:v>
      </x:c>
      <x:c r="C256" s="2" t="str">
        <x:v>收缩0.25</x:v>
      </x:c>
      <x:c r="D256" s="9" t="n">
        <x:v>0.96375</x:v>
      </x:c>
      <x:c r="E256" s="9" t="n">
        <x:v>0.9481643223620002</x:v>
      </x:c>
      <x:c r="F256" s="9" t="n">
        <x:v>0.9157977487013715</x:v>
      </x:c>
      <x:c r="G256" s="10" t="n">
        <x:f>D256-SUMIFS(D$5:D$304,$A$5:$A$304,$A256,$B$5:$B$304,$B256,$C$5:$C$304,"双分支固定")</x:f>
        <x:v>0</x:v>
      </x:c>
      <x:c r="H256" s="10" t="n">
        <x:f>E256-SUMIFS(E$5:E$304,$A$5:$A$304,$A256,$B$5:$B$304,$B256,$C$5:$C$304,"双分支固定")</x:f>
        <x:v>-0.0065941686430277535</x:v>
      </x:c>
      <x:c r="I256" s="10" t="n">
        <x:f>F256-SUMIFS(F$5:F$304,$A$5:$A$304,$A256,$B$5:$B$304,$B256,$C$5:$C$304,"双分支固定")</x:f>
        <x:v>-0.007407208116179453</x:v>
      </x:c>
    </x:row>
    <x:row r="257" ht="22" customHeight="1">
      <x:c r="A257" s="2" t="str">
        <x:v>transistor</x:v>
      </x:c>
      <x:c r="B257" s="2" t="n">
        <x:v>3</x:v>
      </x:c>
      <x:c r="C257" s="2" t="str">
        <x:v>双分支固定</x:v>
      </x:c>
      <x:c r="D257" s="9" t="n">
        <x:v>0.9620833333333333</x:v>
      </x:c>
      <x:c r="E257" s="9" t="n">
        <x:v>0.963555122546448</x:v>
      </x:c>
      <x:c r="F257" s="9" t="n">
        <x:v>0.9297998056294218</x:v>
      </x:c>
      <x:c r="G257" s="10" t="n">
        <x:f>D257-SUMIFS(D$5:D$304,$A$5:$A$304,$A257,$B$5:$B$304,$B257,$C$5:$C$304,"双分支固定")</x:f>
        <x:v>0</x:v>
      </x:c>
      <x:c r="H257" s="10" t="n">
        <x:f>E257-SUMIFS(E$5:E$304,$A$5:$A$304,$A257,$B$5:$B$304,$B257,$C$5:$C$304,"双分支固定")</x:f>
        <x:v>0</x:v>
      </x:c>
      <x:c r="I257" s="10" t="n">
        <x:f>F257-SUMIFS(F$5:F$304,$A$5:$A$304,$A257,$B$5:$B$304,$B257,$C$5:$C$304,"双分支固定")</x:f>
        <x:v>0</x:v>
      </x:c>
    </x:row>
    <x:row r="258" ht="22" customHeight="1">
      <x:c r="A258" s="2" t="str">
        <x:v>transistor</x:v>
      </x:c>
      <x:c r="B258" s="2" t="n">
        <x:v>3</x:v>
      </x:c>
      <x:c r="C258" s="2" t="str">
        <x:v>门控加收缩</x:v>
      </x:c>
      <x:c r="D258" s="9" t="n">
        <x:v>0.9620833333333333</x:v>
      </x:c>
      <x:c r="E258" s="9" t="n">
        <x:v>0.963555122546448</x:v>
      </x:c>
      <x:c r="F258" s="9" t="n">
        <x:v>0.9297998056294218</x:v>
      </x:c>
      <x:c r="G258" s="10" t="n">
        <x:f>D258-SUMIFS(D$5:D$304,$A$5:$A$304,$A258,$B$5:$B$304,$B258,$C$5:$C$304,"双分支固定")</x:f>
        <x:v>0</x:v>
      </x:c>
      <x:c r="H258" s="10" t="n">
        <x:f>E258-SUMIFS(E$5:E$304,$A$5:$A$304,$A258,$B$5:$B$304,$B258,$C$5:$C$304,"双分支固定")</x:f>
        <x:v>0</x:v>
      </x:c>
      <x:c r="I258" s="10" t="n">
        <x:f>F258-SUMIFS(F$5:F$304,$A$5:$A$304,$A258,$B$5:$B$304,$B258,$C$5:$C$304,"双分支固定")</x:f>
        <x:v>0</x:v>
      </x:c>
    </x:row>
    <x:row r="259" ht="22" customHeight="1">
      <x:c r="A259" s="2" t="str">
        <x:v>transistor</x:v>
      </x:c>
      <x:c r="B259" s="2" t="n">
        <x:v>3</x:v>
      </x:c>
      <x:c r="C259" s="2" t="str">
        <x:v>像素敏感性</x:v>
      </x:c>
      <x:c r="D259" s="9" t="n">
        <x:v>0.9620833333333333</x:v>
      </x:c>
      <x:c r="E259" s="9" t="n">
        <x:v>0.8905146596003233</x:v>
      </x:c>
      <x:c r="F259" s="9" t="n">
        <x:v>0.8581852741077026</x:v>
      </x:c>
      <x:c r="G259" s="10" t="n">
        <x:f>D259-SUMIFS(D$5:D$304,$A$5:$A$304,$A259,$B$5:$B$304,$B259,$C$5:$C$304,"双分支固定")</x:f>
        <x:v>0</x:v>
      </x:c>
      <x:c r="H259" s="10" t="n">
        <x:f>E259-SUMIFS(E$5:E$304,$A$5:$A$304,$A259,$B$5:$B$304,$B259,$C$5:$C$304,"双分支固定")</x:f>
        <x:v>-0.07304046294612476</x:v>
      </x:c>
      <x:c r="I259" s="10" t="n">
        <x:f>F259-SUMIFS(F$5:F$304,$A$5:$A$304,$A259,$B$5:$B$304,$B259,$C$5:$C$304,"双分支固定")</x:f>
        <x:v>-0.07161453152171915</x:v>
      </x:c>
    </x:row>
    <x:row r="260" ht="22" customHeight="1">
      <x:c r="A260" s="2" t="str">
        <x:v>transistor</x:v>
      </x:c>
      <x:c r="B260" s="2" t="n">
        <x:v>3</x:v>
      </x:c>
      <x:c r="C260" s="2" t="str">
        <x:v>收缩0.25</x:v>
      </x:c>
      <x:c r="D260" s="9" t="n">
        <x:v>0.9620833333333333</x:v>
      </x:c>
      <x:c r="E260" s="9" t="n">
        <x:v>0.9546299110929016</x:v>
      </x:c>
      <x:c r="F260" s="9" t="n">
        <x:v>0.9200532809500996</x:v>
      </x:c>
      <x:c r="G260" s="10" t="n">
        <x:f>D260-SUMIFS(D$5:D$304,$A$5:$A$304,$A260,$B$5:$B$304,$B260,$C$5:$C$304,"双分支固定")</x:f>
        <x:v>0</x:v>
      </x:c>
      <x:c r="H260" s="10" t="n">
        <x:f>E260-SUMIFS(E$5:E$304,$A$5:$A$304,$A260,$B$5:$B$304,$B260,$C$5:$C$304,"双分支固定")</x:f>
        <x:v>-0.008925211453546411</x:v>
      </x:c>
      <x:c r="I260" s="10" t="n">
        <x:f>F260-SUMIFS(F$5:F$304,$A$5:$A$304,$A260,$B$5:$B$304,$B260,$C$5:$C$304,"双分支固定")</x:f>
        <x:v>-0.009746524679322133</x:v>
      </x:c>
    </x:row>
    <x:row r="261" ht="22" customHeight="1">
      <x:c r="A261" s="2" t="str">
        <x:v>transistor</x:v>
      </x:c>
      <x:c r="B261" s="2" t="n">
        <x:v>4</x:v>
      </x:c>
      <x:c r="C261" s="2" t="str">
        <x:v>双分支固定</x:v>
      </x:c>
      <x:c r="D261" s="9" t="n">
        <x:v>0.9729166666666667</x:v>
      </x:c>
      <x:c r="E261" s="9" t="n">
        <x:v>0.9682813519031943</x:v>
      </x:c>
      <x:c r="F261" s="9" t="n">
        <x:v>0.9367963286129523</x:v>
      </x:c>
      <x:c r="G261" s="10" t="n">
        <x:f>D261-SUMIFS(D$5:D$304,$A$5:$A$304,$A261,$B$5:$B$304,$B261,$C$5:$C$304,"双分支固定")</x:f>
        <x:v>0</x:v>
      </x:c>
      <x:c r="H261" s="10" t="n">
        <x:f>E261-SUMIFS(E$5:E$304,$A$5:$A$304,$A261,$B$5:$B$304,$B261,$C$5:$C$304,"双分支固定")</x:f>
        <x:v>0</x:v>
      </x:c>
      <x:c r="I261" s="10" t="n">
        <x:f>F261-SUMIFS(F$5:F$304,$A$5:$A$304,$A261,$B$5:$B$304,$B261,$C$5:$C$304,"双分支固定")</x:f>
        <x:v>0</x:v>
      </x:c>
    </x:row>
    <x:row r="262" ht="22" customHeight="1">
      <x:c r="A262" s="2" t="str">
        <x:v>transistor</x:v>
      </x:c>
      <x:c r="B262" s="2" t="n">
        <x:v>4</x:v>
      </x:c>
      <x:c r="C262" s="2" t="str">
        <x:v>门控加收缩</x:v>
      </x:c>
      <x:c r="D262" s="9" t="n">
        <x:v>0.9729166666666667</x:v>
      </x:c>
      <x:c r="E262" s="9" t="n">
        <x:v>0.96411114637246</x:v>
      </x:c>
      <x:c r="F262" s="9" t="n">
        <x:v>0.9320678680802409</x:v>
      </x:c>
      <x:c r="G262" s="10" t="n">
        <x:f>D262-SUMIFS(D$5:D$304,$A$5:$A$304,$A262,$B$5:$B$304,$B262,$C$5:$C$304,"双分支固定")</x:f>
        <x:v>0</x:v>
      </x:c>
      <x:c r="H262" s="10" t="n">
        <x:f>E262-SUMIFS(E$5:E$304,$A$5:$A$304,$A262,$B$5:$B$304,$B262,$C$5:$C$304,"双分支固定")</x:f>
        <x:v>-0.004170205530734328</x:v>
      </x:c>
      <x:c r="I262" s="10" t="n">
        <x:f>F262-SUMIFS(F$5:F$304,$A$5:$A$304,$A262,$B$5:$B$304,$B262,$C$5:$C$304,"双分支固定")</x:f>
        <x:v>-0.004728460532711365</x:v>
      </x:c>
    </x:row>
    <x:row r="263" ht="22" customHeight="1">
      <x:c r="A263" s="2" t="str">
        <x:v>transistor</x:v>
      </x:c>
      <x:c r="B263" s="2" t="n">
        <x:v>4</x:v>
      </x:c>
      <x:c r="C263" s="2" t="str">
        <x:v>像素敏感性</x:v>
      </x:c>
      <x:c r="D263" s="9" t="n">
        <x:v>0.9729166666666667</x:v>
      </x:c>
      <x:c r="E263" s="9" t="n">
        <x:v>0.9411278729747757</x:v>
      </x:c>
      <x:c r="F263" s="9" t="n">
        <x:v>0.9084597967487524</x:v>
      </x:c>
      <x:c r="G263" s="10" t="n">
        <x:f>D263-SUMIFS(D$5:D$304,$A$5:$A$304,$A263,$B$5:$B$304,$B263,$C$5:$C$304,"双分支固定")</x:f>
        <x:v>0</x:v>
      </x:c>
      <x:c r="H263" s="10" t="n">
        <x:f>E263-SUMIFS(E$5:E$304,$A$5:$A$304,$A263,$B$5:$B$304,$B263,$C$5:$C$304,"双分支固定")</x:f>
        <x:v>-0.027153478928418573</x:v>
      </x:c>
      <x:c r="I263" s="10" t="n">
        <x:f>F263-SUMIFS(F$5:F$304,$A$5:$A$304,$A263,$B$5:$B$304,$B263,$C$5:$C$304,"双分支固定")</x:f>
        <x:v>-0.02833653186419982</x:v>
      </x:c>
    </x:row>
    <x:row r="264" ht="22" customHeight="1">
      <x:c r="A264" s="2" t="str">
        <x:v>transistor</x:v>
      </x:c>
      <x:c r="B264" s="2" t="n">
        <x:v>4</x:v>
      </x:c>
      <x:c r="C264" s="2" t="str">
        <x:v>收缩0.25</x:v>
      </x:c>
      <x:c r="D264" s="9" t="n">
        <x:v>0.9729166666666667</x:v>
      </x:c>
      <x:c r="E264" s="9" t="n">
        <x:v>0.96411114637246</x:v>
      </x:c>
      <x:c r="F264" s="9" t="n">
        <x:v>0.9320678680802409</x:v>
      </x:c>
      <x:c r="G264" s="10" t="n">
        <x:f>D264-SUMIFS(D$5:D$304,$A$5:$A$304,$A264,$B$5:$B$304,$B264,$C$5:$C$304,"双分支固定")</x:f>
        <x:v>0</x:v>
      </x:c>
      <x:c r="H264" s="10" t="n">
        <x:f>E264-SUMIFS(E$5:E$304,$A$5:$A$304,$A264,$B$5:$B$304,$B264,$C$5:$C$304,"双分支固定")</x:f>
        <x:v>-0.004170205530734328</x:v>
      </x:c>
      <x:c r="I264" s="10" t="n">
        <x:f>F264-SUMIFS(F$5:F$304,$A$5:$A$304,$A264,$B$5:$B$304,$B264,$C$5:$C$304,"双分支固定")</x:f>
        <x:v>-0.004728460532711365</x:v>
      </x:c>
    </x:row>
    <x:row r="265" ht="22" customHeight="1">
      <x:c r="A265" s="2" t="str">
        <x:v>wood</x:v>
      </x:c>
      <x:c r="B265" s="2" t="n">
        <x:v>0</x:v>
      </x:c>
      <x:c r="C265" s="2" t="str">
        <x:v>双分支固定</x:v>
      </x:c>
      <x:c r="D265" s="9" t="n">
        <x:v>0.9903508771929823</x:v>
      </x:c>
      <x:c r="E265" s="9" t="n">
        <x:v>0.9421310448520254</x:v>
      </x:c>
      <x:c r="F265" s="9" t="n">
        <x:v>0.9263738702723627</x:v>
      </x:c>
      <x:c r="G265" s="10" t="n">
        <x:f>D265-SUMIFS(D$5:D$304,$A$5:$A$304,$A265,$B$5:$B$304,$B265,$C$5:$C$304,"双分支固定")</x:f>
        <x:v>0</x:v>
      </x:c>
      <x:c r="H265" s="10" t="n">
        <x:f>E265-SUMIFS(E$5:E$304,$A$5:$A$304,$A265,$B$5:$B$304,$B265,$C$5:$C$304,"双分支固定")</x:f>
        <x:v>0</x:v>
      </x:c>
      <x:c r="I265" s="10" t="n">
        <x:f>F265-SUMIFS(F$5:F$304,$A$5:$A$304,$A265,$B$5:$B$304,$B265,$C$5:$C$304,"双分支固定")</x:f>
        <x:v>0</x:v>
      </x:c>
    </x:row>
    <x:row r="266" ht="22" customHeight="1">
      <x:c r="A266" s="2" t="str">
        <x:v>wood</x:v>
      </x:c>
      <x:c r="B266" s="2" t="n">
        <x:v>0</x:v>
      </x:c>
      <x:c r="C266" s="2" t="str">
        <x:v>门控加收缩</x:v>
      </x:c>
      <x:c r="D266" s="9" t="n">
        <x:v>0.9903508771929823</x:v>
      </x:c>
      <x:c r="E266" s="9" t="n">
        <x:v>0.944093075838206</x:v>
      </x:c>
      <x:c r="F266" s="9" t="n">
        <x:v>0.9288615892477039</x:v>
      </x:c>
      <x:c r="G266" s="10" t="n">
        <x:f>D266-SUMIFS(D$5:D$304,$A$5:$A$304,$A266,$B$5:$B$304,$B266,$C$5:$C$304,"双分支固定")</x:f>
        <x:v>0</x:v>
      </x:c>
      <x:c r="H266" s="10" t="n">
        <x:f>E266-SUMIFS(E$5:E$304,$A$5:$A$304,$A266,$B$5:$B$304,$B266,$C$5:$C$304,"双分支固定")</x:f>
        <x:v>0.0019620309861806406</x:v>
      </x:c>
      <x:c r="I266" s="10" t="n">
        <x:f>F266-SUMIFS(F$5:F$304,$A$5:$A$304,$A266,$B$5:$B$304,$B266,$C$5:$C$304,"双分支固定")</x:f>
        <x:v>0.002487718975341169</x:v>
      </x:c>
    </x:row>
    <x:row r="267" ht="22" customHeight="1">
      <x:c r="A267" s="2" t="str">
        <x:v>wood</x:v>
      </x:c>
      <x:c r="B267" s="2" t="n">
        <x:v>0</x:v>
      </x:c>
      <x:c r="C267" s="2" t="str">
        <x:v>像素敏感性</x:v>
      </x:c>
      <x:c r="D267" s="9" t="n">
        <x:v>0.9903508771929823</x:v>
      </x:c>
      <x:c r="E267" s="9" t="n">
        <x:v>0.9491857116227246</x:v>
      </x:c>
      <x:c r="F267" s="9" t="n">
        <x:v>0.9354074174184812</x:v>
      </x:c>
      <x:c r="G267" s="10" t="n">
        <x:f>D267-SUMIFS(D$5:D$304,$A$5:$A$304,$A267,$B$5:$B$304,$B267,$C$5:$C$304,"双分支固定")</x:f>
        <x:v>0</x:v>
      </x:c>
      <x:c r="H267" s="10" t="n">
        <x:f>E267-SUMIFS(E$5:E$304,$A$5:$A$304,$A267,$B$5:$B$304,$B267,$C$5:$C$304,"双分支固定")</x:f>
        <x:v>0.007054666770699214</x:v>
      </x:c>
      <x:c r="I267" s="10" t="n">
        <x:f>F267-SUMIFS(F$5:F$304,$A$5:$A$304,$A267,$B$5:$B$304,$B267,$C$5:$C$304,"双分支固定")</x:f>
        <x:v>0.009033547146118481</x:v>
      </x:c>
    </x:row>
    <x:row r="268" ht="22" customHeight="1">
      <x:c r="A268" s="2" t="str">
        <x:v>wood</x:v>
      </x:c>
      <x:c r="B268" s="2" t="n">
        <x:v>0</x:v>
      </x:c>
      <x:c r="C268" s="2" t="str">
        <x:v>收缩0.25</x:v>
      </x:c>
      <x:c r="D268" s="9" t="n">
        <x:v>0.9903508771929823</x:v>
      </x:c>
      <x:c r="E268" s="9" t="n">
        <x:v>0.944093075838206</x:v>
      </x:c>
      <x:c r="F268" s="9" t="n">
        <x:v>0.9288615892477039</x:v>
      </x:c>
      <x:c r="G268" s="10" t="n">
        <x:f>D268-SUMIFS(D$5:D$304,$A$5:$A$304,$A268,$B$5:$B$304,$B268,$C$5:$C$304,"双分支固定")</x:f>
        <x:v>0</x:v>
      </x:c>
      <x:c r="H268" s="10" t="n">
        <x:f>E268-SUMIFS(E$5:E$304,$A$5:$A$304,$A268,$B$5:$B$304,$B268,$C$5:$C$304,"双分支固定")</x:f>
        <x:v>0.0019620309861806406</x:v>
      </x:c>
      <x:c r="I268" s="10" t="n">
        <x:f>F268-SUMIFS(F$5:F$304,$A$5:$A$304,$A268,$B$5:$B$304,$B268,$C$5:$C$304,"双分支固定")</x:f>
        <x:v>0.002487718975341169</x:v>
      </x:c>
    </x:row>
    <x:row r="269" ht="22" customHeight="1">
      <x:c r="A269" s="2" t="str">
        <x:v>wood</x:v>
      </x:c>
      <x:c r="B269" s="2" t="n">
        <x:v>1</x:v>
      </x:c>
      <x:c r="C269" s="2" t="str">
        <x:v>双分支固定</x:v>
      </x:c>
      <x:c r="D269" s="9" t="n">
        <x:v>0.9868421052631579</x:v>
      </x:c>
      <x:c r="E269" s="9" t="n">
        <x:v>0.94081719645725</x:v>
      </x:c>
      <x:c r="F269" s="9" t="n">
        <x:v>0.9245255437320594</x:v>
      </x:c>
      <x:c r="G269" s="10" t="n">
        <x:f>D269-SUMIFS(D$5:D$304,$A$5:$A$304,$A269,$B$5:$B$304,$B269,$C$5:$C$304,"双分支固定")</x:f>
        <x:v>0</x:v>
      </x:c>
      <x:c r="H269" s="10" t="n">
        <x:f>E269-SUMIFS(E$5:E$304,$A$5:$A$304,$A269,$B$5:$B$304,$B269,$C$5:$C$304,"双分支固定")</x:f>
        <x:v>0</x:v>
      </x:c>
      <x:c r="I269" s="10" t="n">
        <x:f>F269-SUMIFS(F$5:F$304,$A$5:$A$304,$A269,$B$5:$B$304,$B269,$C$5:$C$304,"双分支固定")</x:f>
        <x:v>0</x:v>
      </x:c>
    </x:row>
    <x:row r="270" ht="22" customHeight="1">
      <x:c r="A270" s="2" t="str">
        <x:v>wood</x:v>
      </x:c>
      <x:c r="B270" s="2" t="n">
        <x:v>1</x:v>
      </x:c>
      <x:c r="C270" s="2" t="str">
        <x:v>门控加收缩</x:v>
      </x:c>
      <x:c r="D270" s="9" t="n">
        <x:v>0.9868421052631579</x:v>
      </x:c>
      <x:c r="E270" s="9" t="n">
        <x:v>0.9413124956848561</x:v>
      </x:c>
      <x:c r="F270" s="9" t="n">
        <x:v>0.9251617597577801</x:v>
      </x:c>
      <x:c r="G270" s="10" t="n">
        <x:f>D270-SUMIFS(D$5:D$304,$A$5:$A$304,$A270,$B$5:$B$304,$B270,$C$5:$C$304,"双分支固定")</x:f>
        <x:v>0</x:v>
      </x:c>
      <x:c r="H270" s="10" t="n">
        <x:f>E270-SUMIFS(E$5:E$304,$A$5:$A$304,$A270,$B$5:$B$304,$B270,$C$5:$C$304,"双分支固定")</x:f>
        <x:v>0.0004952992276060497</x:v>
      </x:c>
      <x:c r="I270" s="10" t="n">
        <x:f>F270-SUMIFS(F$5:F$304,$A$5:$A$304,$A270,$B$5:$B$304,$B270,$C$5:$C$304,"双分支固定")</x:f>
        <x:v>0.0006362160257207261</x:v>
      </x:c>
    </x:row>
    <x:row r="271" ht="22" customHeight="1">
      <x:c r="A271" s="2" t="str">
        <x:v>wood</x:v>
      </x:c>
      <x:c r="B271" s="2" t="n">
        <x:v>1</x:v>
      </x:c>
      <x:c r="C271" s="2" t="str">
        <x:v>像素敏感性</x:v>
      </x:c>
      <x:c r="D271" s="9" t="n">
        <x:v>0.9868421052631579</x:v>
      </x:c>
      <x:c r="E271" s="9" t="n">
        <x:v>0.9427628689743099</x:v>
      </x:c>
      <x:c r="F271" s="9" t="n">
        <x:v>0.9270312077973856</x:v>
      </x:c>
      <x:c r="G271" s="10" t="n">
        <x:f>D271-SUMIFS(D$5:D$304,$A$5:$A$304,$A271,$B$5:$B$304,$B271,$C$5:$C$304,"双分支固定")</x:f>
        <x:v>0</x:v>
      </x:c>
      <x:c r="H271" s="10" t="n">
        <x:f>E271-SUMIFS(E$5:E$304,$A$5:$A$304,$A271,$B$5:$B$304,$B271,$C$5:$C$304,"双分支固定")</x:f>
        <x:v>0.0019456725170599043</x:v>
      </x:c>
      <x:c r="I271" s="10" t="n">
        <x:f>F271-SUMIFS(F$5:F$304,$A$5:$A$304,$A271,$B$5:$B$304,$B271,$C$5:$C$304,"双分支固定")</x:f>
        <x:v>0.002505664065326152</x:v>
      </x:c>
    </x:row>
    <x:row r="272" ht="22" customHeight="1">
      <x:c r="A272" s="2" t="str">
        <x:v>wood</x:v>
      </x:c>
      <x:c r="B272" s="2" t="n">
        <x:v>1</x:v>
      </x:c>
      <x:c r="C272" s="2" t="str">
        <x:v>收缩0.25</x:v>
      </x:c>
      <x:c r="D272" s="9" t="n">
        <x:v>0.9868421052631579</x:v>
      </x:c>
      <x:c r="E272" s="9" t="n">
        <x:v>0.9413124956848561</x:v>
      </x:c>
      <x:c r="F272" s="9" t="n">
        <x:v>0.9251617597577801</x:v>
      </x:c>
      <x:c r="G272" s="10" t="n">
        <x:f>D272-SUMIFS(D$5:D$304,$A$5:$A$304,$A272,$B$5:$B$304,$B272,$C$5:$C$304,"双分支固定")</x:f>
        <x:v>0</x:v>
      </x:c>
      <x:c r="H272" s="10" t="n">
        <x:f>E272-SUMIFS(E$5:E$304,$A$5:$A$304,$A272,$B$5:$B$304,$B272,$C$5:$C$304,"双分支固定")</x:f>
        <x:v>0.0004952992276060497</x:v>
      </x:c>
      <x:c r="I272" s="10" t="n">
        <x:f>F272-SUMIFS(F$5:F$304,$A$5:$A$304,$A272,$B$5:$B$304,$B272,$C$5:$C$304,"双分支固定")</x:f>
        <x:v>0.0006362160257207261</x:v>
      </x:c>
    </x:row>
    <x:row r="273" ht="22" customHeight="1">
      <x:c r="A273" s="2" t="str">
        <x:v>wood</x:v>
      </x:c>
      <x:c r="B273" s="2" t="n">
        <x:v>2</x:v>
      </x:c>
      <x:c r="C273" s="2" t="str">
        <x:v>双分支固定</x:v>
      </x:c>
      <x:c r="D273" s="9" t="n">
        <x:v>0.9885964912280703</x:v>
      </x:c>
      <x:c r="E273" s="9" t="n">
        <x:v>0.9411603250188685</x:v>
      </x:c>
      <x:c r="F273" s="9" t="n">
        <x:v>0.9248232445263622</x:v>
      </x:c>
      <x:c r="G273" s="10" t="n">
        <x:f>D273-SUMIFS(D$5:D$304,$A$5:$A$304,$A273,$B$5:$B$304,$B273,$C$5:$C$304,"双分支固定")</x:f>
        <x:v>0</x:v>
      </x:c>
      <x:c r="H273" s="10" t="n">
        <x:f>E273-SUMIFS(E$5:E$304,$A$5:$A$304,$A273,$B$5:$B$304,$B273,$C$5:$C$304,"双分支固定")</x:f>
        <x:v>0</x:v>
      </x:c>
      <x:c r="I273" s="10" t="n">
        <x:f>F273-SUMIFS(F$5:F$304,$A$5:$A$304,$A273,$B$5:$B$304,$B273,$C$5:$C$304,"双分支固定")</x:f>
        <x:v>0</x:v>
      </x:c>
    </x:row>
    <x:row r="274" ht="22" customHeight="1">
      <x:c r="A274" s="2" t="str">
        <x:v>wood</x:v>
      </x:c>
      <x:c r="B274" s="2" t="n">
        <x:v>2</x:v>
      </x:c>
      <x:c r="C274" s="2" t="str">
        <x:v>门控加收缩</x:v>
      </x:c>
      <x:c r="D274" s="9" t="n">
        <x:v>0.9885964912280703</x:v>
      </x:c>
      <x:c r="E274" s="9" t="n">
        <x:v>0.9430061230152057</x:v>
      </x:c>
      <x:c r="F274" s="9" t="n">
        <x:v>0.9271825390656198</x:v>
      </x:c>
      <x:c r="G274" s="10" t="n">
        <x:f>D274-SUMIFS(D$5:D$304,$A$5:$A$304,$A274,$B$5:$B$304,$B274,$C$5:$C$304,"双分支固定")</x:f>
        <x:v>0</x:v>
      </x:c>
      <x:c r="H274" s="10" t="n">
        <x:f>E274-SUMIFS(E$5:E$304,$A$5:$A$304,$A274,$B$5:$B$304,$B274,$C$5:$C$304,"双分支固定")</x:f>
        <x:v>0.0018457979963372173</x:v>
      </x:c>
      <x:c r="I274" s="10" t="n">
        <x:f>F274-SUMIFS(F$5:F$304,$A$5:$A$304,$A274,$B$5:$B$304,$B274,$C$5:$C$304,"双分支固定")</x:f>
        <x:v>0.0023592945392575393</x:v>
      </x:c>
    </x:row>
    <x:row r="275" ht="22" customHeight="1">
      <x:c r="A275" s="2" t="str">
        <x:v>wood</x:v>
      </x:c>
      <x:c r="B275" s="2" t="n">
        <x:v>2</x:v>
      </x:c>
      <x:c r="C275" s="2" t="str">
        <x:v>像素敏感性</x:v>
      </x:c>
      <x:c r="D275" s="9" t="n">
        <x:v>0.9885964912280703</x:v>
      </x:c>
      <x:c r="E275" s="9" t="n">
        <x:v>0.9478414887611523</x:v>
      </x:c>
      <x:c r="F275" s="9" t="n">
        <x:v>0.9334452996657316</x:v>
      </x:c>
      <x:c r="G275" s="10" t="n">
        <x:f>D275-SUMIFS(D$5:D$304,$A$5:$A$304,$A275,$B$5:$B$304,$B275,$C$5:$C$304,"双分支固定")</x:f>
        <x:v>0</x:v>
      </x:c>
      <x:c r="H275" s="10" t="n">
        <x:f>E275-SUMIFS(E$5:E$304,$A$5:$A$304,$A275,$B$5:$B$304,$B275,$C$5:$C$304,"双分支固定")</x:f>
        <x:v>0.00668116374228378</x:v>
      </x:c>
      <x:c r="I275" s="10" t="n">
        <x:f>F275-SUMIFS(F$5:F$304,$A$5:$A$304,$A275,$B$5:$B$304,$B275,$C$5:$C$304,"双分支固定")</x:f>
        <x:v>0.008622055139369422</x:v>
      </x:c>
    </x:row>
    <x:row r="276" ht="22" customHeight="1">
      <x:c r="A276" s="2" t="str">
        <x:v>wood</x:v>
      </x:c>
      <x:c r="B276" s="2" t="n">
        <x:v>2</x:v>
      </x:c>
      <x:c r="C276" s="2" t="str">
        <x:v>收缩0.25</x:v>
      </x:c>
      <x:c r="D276" s="9" t="n">
        <x:v>0.9885964912280703</x:v>
      </x:c>
      <x:c r="E276" s="9" t="n">
        <x:v>0.9430061230152057</x:v>
      </x:c>
      <x:c r="F276" s="9" t="n">
        <x:v>0.9271825390656198</x:v>
      </x:c>
      <x:c r="G276" s="10" t="n">
        <x:f>D276-SUMIFS(D$5:D$304,$A$5:$A$304,$A276,$B$5:$B$304,$B276,$C$5:$C$304,"双分支固定")</x:f>
        <x:v>0</x:v>
      </x:c>
      <x:c r="H276" s="10" t="n">
        <x:f>E276-SUMIFS(E$5:E$304,$A$5:$A$304,$A276,$B$5:$B$304,$B276,$C$5:$C$304,"双分支固定")</x:f>
        <x:v>0.0018457979963372173</x:v>
      </x:c>
      <x:c r="I276" s="10" t="n">
        <x:f>F276-SUMIFS(F$5:F$304,$A$5:$A$304,$A276,$B$5:$B$304,$B276,$C$5:$C$304,"双分支固定")</x:f>
        <x:v>0.0023592945392575393</x:v>
      </x:c>
    </x:row>
    <x:row r="277" ht="22" customHeight="1">
      <x:c r="A277" s="2" t="str">
        <x:v>wood</x:v>
      </x:c>
      <x:c r="B277" s="2" t="n">
        <x:v>3</x:v>
      </x:c>
      <x:c r="C277" s="2" t="str">
        <x:v>双分支固定</x:v>
      </x:c>
      <x:c r="D277" s="9" t="n">
        <x:v>0.987719298245614</x:v>
      </x:c>
      <x:c r="E277" s="9" t="n">
        <x:v>0.9425663470524852</x:v>
      </x:c>
      <x:c r="F277" s="9" t="n">
        <x:v>0.9265887372758815</x:v>
      </x:c>
      <x:c r="G277" s="10" t="n">
        <x:f>D277-SUMIFS(D$5:D$304,$A$5:$A$304,$A277,$B$5:$B$304,$B277,$C$5:$C$304,"双分支固定")</x:f>
        <x:v>0</x:v>
      </x:c>
      <x:c r="H277" s="10" t="n">
        <x:f>E277-SUMIFS(E$5:E$304,$A$5:$A$304,$A277,$B$5:$B$304,$B277,$C$5:$C$304,"双分支固定")</x:f>
        <x:v>0</x:v>
      </x:c>
      <x:c r="I277" s="10" t="n">
        <x:f>F277-SUMIFS(F$5:F$304,$A$5:$A$304,$A277,$B$5:$B$304,$B277,$C$5:$C$304,"双分支固定")</x:f>
        <x:v>0</x:v>
      </x:c>
    </x:row>
    <x:row r="278" ht="22" customHeight="1">
      <x:c r="A278" s="2" t="str">
        <x:v>wood</x:v>
      </x:c>
      <x:c r="B278" s="2" t="n">
        <x:v>3</x:v>
      </x:c>
      <x:c r="C278" s="2" t="str">
        <x:v>门控加收缩</x:v>
      </x:c>
      <x:c r="D278" s="9" t="n">
        <x:v>0.987719298245614</x:v>
      </x:c>
      <x:c r="E278" s="9" t="n">
        <x:v>0.9432498610651519</x:v>
      </x:c>
      <x:c r="F278" s="9" t="n">
        <x:v>0.9274707131201705</x:v>
      </x:c>
      <x:c r="G278" s="10" t="n">
        <x:f>D278-SUMIFS(D$5:D$304,$A$5:$A$304,$A278,$B$5:$B$304,$B278,$C$5:$C$304,"双分支固定")</x:f>
        <x:v>0</x:v>
      </x:c>
      <x:c r="H278" s="10" t="n">
        <x:f>E278-SUMIFS(E$5:E$304,$A$5:$A$304,$A278,$B$5:$B$304,$B278,$C$5:$C$304,"双分支固定")</x:f>
        <x:v>0.0006835140126666417</x:v>
      </x:c>
      <x:c r="I278" s="10" t="n">
        <x:f>F278-SUMIFS(F$5:F$304,$A$5:$A$304,$A278,$B$5:$B$304,$B278,$C$5:$C$304,"双分支固定")</x:f>
        <x:v>0.0008819758442889514</x:v>
      </x:c>
    </x:row>
    <x:row r="279" ht="22" customHeight="1">
      <x:c r="A279" s="2" t="str">
        <x:v>wood</x:v>
      </x:c>
      <x:c r="B279" s="2" t="n">
        <x:v>3</x:v>
      </x:c>
      <x:c r="C279" s="2" t="str">
        <x:v>像素敏感性</x:v>
      </x:c>
      <x:c r="D279" s="9" t="n">
        <x:v>0.987719298245614</x:v>
      </x:c>
      <x:c r="E279" s="9" t="n">
        <x:v>0.9452041642101863</x:v>
      </x:c>
      <x:c r="F279" s="9" t="n">
        <x:v>0.9300051788877736</x:v>
      </x:c>
      <x:c r="G279" s="10" t="n">
        <x:f>D279-SUMIFS(D$5:D$304,$A$5:$A$304,$A279,$B$5:$B$304,$B279,$C$5:$C$304,"双分支固定")</x:f>
        <x:v>0</x:v>
      </x:c>
      <x:c r="H279" s="10" t="n">
        <x:f>E279-SUMIFS(E$5:E$304,$A$5:$A$304,$A279,$B$5:$B$304,$B279,$C$5:$C$304,"双分支固定")</x:f>
        <x:v>0.002637817157701061</x:v>
      </x:c>
      <x:c r="I279" s="10" t="n">
        <x:f>F279-SUMIFS(F$5:F$304,$A$5:$A$304,$A279,$B$5:$B$304,$B279,$C$5:$C$304,"双分支固定")</x:f>
        <x:v>0.0034164416118920293</x:v>
      </x:c>
    </x:row>
    <x:row r="280" ht="22" customHeight="1">
      <x:c r="A280" s="2" t="str">
        <x:v>wood</x:v>
      </x:c>
      <x:c r="B280" s="2" t="n">
        <x:v>3</x:v>
      </x:c>
      <x:c r="C280" s="2" t="str">
        <x:v>收缩0.25</x:v>
      </x:c>
      <x:c r="D280" s="9" t="n">
        <x:v>0.987719298245614</x:v>
      </x:c>
      <x:c r="E280" s="9" t="n">
        <x:v>0.9432498610651519</x:v>
      </x:c>
      <x:c r="F280" s="9" t="n">
        <x:v>0.9274707131201705</x:v>
      </x:c>
      <x:c r="G280" s="10" t="n">
        <x:f>D280-SUMIFS(D$5:D$304,$A$5:$A$304,$A280,$B$5:$B$304,$B280,$C$5:$C$304,"双分支固定")</x:f>
        <x:v>0</x:v>
      </x:c>
      <x:c r="H280" s="10" t="n">
        <x:f>E280-SUMIFS(E$5:E$304,$A$5:$A$304,$A280,$B$5:$B$304,$B280,$C$5:$C$304,"双分支固定")</x:f>
        <x:v>0.0006835140126666417</x:v>
      </x:c>
      <x:c r="I280" s="10" t="n">
        <x:f>F280-SUMIFS(F$5:F$304,$A$5:$A$304,$A280,$B$5:$B$304,$B280,$C$5:$C$304,"双分支固定")</x:f>
        <x:v>0.0008819758442889514</x:v>
      </x:c>
    </x:row>
    <x:row r="281" ht="22" customHeight="1">
      <x:c r="A281" s="2" t="str">
        <x:v>wood</x:v>
      </x:c>
      <x:c r="B281" s="2" t="n">
        <x:v>4</x:v>
      </x:c>
      <x:c r="C281" s="2" t="str">
        <x:v>双分支固定</x:v>
      </x:c>
      <x:c r="D281" s="9" t="n">
        <x:v>0.9912280701754386</x:v>
      </x:c>
      <x:c r="E281" s="9" t="n">
        <x:v>0.9416636289403848</x:v>
      </x:c>
      <x:c r="F281" s="9" t="n">
        <x:v>0.925883155120405</x:v>
      </x:c>
      <x:c r="G281" s="10" t="n">
        <x:f>D281-SUMIFS(D$5:D$304,$A$5:$A$304,$A281,$B$5:$B$304,$B281,$C$5:$C$304,"双分支固定")</x:f>
        <x:v>0</x:v>
      </x:c>
      <x:c r="H281" s="10" t="n">
        <x:f>E281-SUMIFS(E$5:E$304,$A$5:$A$304,$A281,$B$5:$B$304,$B281,$C$5:$C$304,"双分支固定")</x:f>
        <x:v>0</x:v>
      </x:c>
      <x:c r="I281" s="10" t="n">
        <x:f>F281-SUMIFS(F$5:F$304,$A$5:$A$304,$A281,$B$5:$B$304,$B281,$C$5:$C$304,"双分支固定")</x:f>
        <x:v>0</x:v>
      </x:c>
    </x:row>
    <x:row r="282" ht="22" customHeight="1">
      <x:c r="A282" s="2" t="str">
        <x:v>wood</x:v>
      </x:c>
      <x:c r="B282" s="2" t="n">
        <x:v>4</x:v>
      </x:c>
      <x:c r="C282" s="2" t="str">
        <x:v>门控加收缩</x:v>
      </x:c>
      <x:c r="D282" s="9" t="n">
        <x:v>0.9912280701754386</x:v>
      </x:c>
      <x:c r="E282" s="9" t="n">
        <x:v>0.9432359983335143</x:v>
      </x:c>
      <x:c r="F282" s="9" t="n">
        <x:v>0.927884978119466</x:v>
      </x:c>
      <x:c r="G282" s="10" t="n">
        <x:f>D282-SUMIFS(D$5:D$304,$A$5:$A$304,$A282,$B$5:$B$304,$B282,$C$5:$C$304,"双分支固定")</x:f>
        <x:v>0</x:v>
      </x:c>
      <x:c r="H282" s="10" t="n">
        <x:f>E282-SUMIFS(E$5:E$304,$A$5:$A$304,$A282,$B$5:$B$304,$B282,$C$5:$C$304,"双分支固定")</x:f>
        <x:v>0.0015723693931295468</x:v>
      </x:c>
      <x:c r="I282" s="10" t="n">
        <x:f>F282-SUMIFS(F$5:F$304,$A$5:$A$304,$A282,$B$5:$B$304,$B282,$C$5:$C$304,"双分支固定")</x:f>
        <x:v>0.0020018229990610426</x:v>
      </x:c>
    </x:row>
    <x:row r="283" ht="22" customHeight="1">
      <x:c r="A283" s="2" t="str">
        <x:v>wood</x:v>
      </x:c>
      <x:c r="B283" s="2" t="n">
        <x:v>4</x:v>
      </x:c>
      <x:c r="C283" s="2" t="str">
        <x:v>像素敏感性</x:v>
      </x:c>
      <x:c r="D283" s="9" t="n">
        <x:v>0.9912280701754386</x:v>
      </x:c>
      <x:c r="E283" s="9" t="n">
        <x:v>0.9473357713507846</x:v>
      </x:c>
      <x:c r="F283" s="9" t="n">
        <x:v>0.9331828783350086</x:v>
      </x:c>
      <x:c r="G283" s="10" t="n">
        <x:f>D283-SUMIFS(D$5:D$304,$A$5:$A$304,$A283,$B$5:$B$304,$B283,$C$5:$C$304,"双分支固定")</x:f>
        <x:v>0</x:v>
      </x:c>
      <x:c r="H283" s="10" t="n">
        <x:f>E283-SUMIFS(E$5:E$304,$A$5:$A$304,$A283,$B$5:$B$304,$B283,$C$5:$C$304,"双分支固定")</x:f>
        <x:v>0.005672142410399816</x:v>
      </x:c>
      <x:c r="I283" s="10" t="n">
        <x:f>F283-SUMIFS(F$5:F$304,$A$5:$A$304,$A283,$B$5:$B$304,$B283,$C$5:$C$304,"双分支固定")</x:f>
        <x:v>0.007299723214603593</x:v>
      </x:c>
    </x:row>
    <x:row r="284" ht="22" customHeight="1">
      <x:c r="A284" s="2" t="str">
        <x:v>wood</x:v>
      </x:c>
      <x:c r="B284" s="2" t="n">
        <x:v>4</x:v>
      </x:c>
      <x:c r="C284" s="2" t="str">
        <x:v>收缩0.25</x:v>
      </x:c>
      <x:c r="D284" s="9" t="n">
        <x:v>0.9912280701754386</x:v>
      </x:c>
      <x:c r="E284" s="9" t="n">
        <x:v>0.9432359983335143</x:v>
      </x:c>
      <x:c r="F284" s="9" t="n">
        <x:v>0.927884978119466</x:v>
      </x:c>
      <x:c r="G284" s="10" t="n">
        <x:f>D284-SUMIFS(D$5:D$304,$A$5:$A$304,$A284,$B$5:$B$304,$B284,$C$5:$C$304,"双分支固定")</x:f>
        <x:v>0</x:v>
      </x:c>
      <x:c r="H284" s="10" t="n">
        <x:f>E284-SUMIFS(E$5:E$304,$A$5:$A$304,$A284,$B$5:$B$304,$B284,$C$5:$C$304,"双分支固定")</x:f>
        <x:v>0.0015723693931295468</x:v>
      </x:c>
      <x:c r="I284" s="10" t="n">
        <x:f>F284-SUMIFS(F$5:F$304,$A$5:$A$304,$A284,$B$5:$B$304,$B284,$C$5:$C$304,"双分支固定")</x:f>
        <x:v>0.0020018229990610426</x:v>
      </x:c>
    </x:row>
    <x:row r="285" ht="22" customHeight="1">
      <x:c r="A285" s="2" t="str">
        <x:v>zipper</x:v>
      </x:c>
      <x:c r="B285" s="2" t="n">
        <x:v>0</x:v>
      </x:c>
      <x:c r="C285" s="2" t="str">
        <x:v>双分支固定</x:v>
      </x:c>
      <x:c r="D285" s="9" t="n">
        <x:v>0.9944852941176471</x:v>
      </x:c>
      <x:c r="E285" s="9" t="n">
        <x:v>0.9834234272752017</x:v>
      </x:c>
      <x:c r="F285" s="9" t="n">
        <x:v>0.9790102459306732</x:v>
      </x:c>
      <x:c r="G285" s="10" t="n">
        <x:f>D285-SUMIFS(D$5:D$304,$A$5:$A$304,$A285,$B$5:$B$304,$B285,$C$5:$C$304,"双分支固定")</x:f>
        <x:v>0</x:v>
      </x:c>
      <x:c r="H285" s="10" t="n">
        <x:f>E285-SUMIFS(E$5:E$304,$A$5:$A$304,$A285,$B$5:$B$304,$B285,$C$5:$C$304,"双分支固定")</x:f>
        <x:v>0</x:v>
      </x:c>
      <x:c r="I285" s="10" t="n">
        <x:f>F285-SUMIFS(F$5:F$304,$A$5:$A$304,$A285,$B$5:$B$304,$B285,$C$5:$C$304,"双分支固定")</x:f>
        <x:v>0</x:v>
      </x:c>
    </x:row>
    <x:row r="286" ht="22" customHeight="1">
      <x:c r="A286" s="2" t="str">
        <x:v>zipper</x:v>
      </x:c>
      <x:c r="B286" s="2" t="n">
        <x:v>0</x:v>
      </x:c>
      <x:c r="C286" s="2" t="str">
        <x:v>门控加收缩</x:v>
      </x:c>
      <x:c r="D286" s="9" t="n">
        <x:v>0.9944852941176471</x:v>
      </x:c>
      <x:c r="E286" s="9" t="n">
        <x:v>0.9850634276419588</x:v>
      </x:c>
      <x:c r="F286" s="9" t="n">
        <x:v>0.9810693579735825</x:v>
      </x:c>
      <x:c r="G286" s="10" t="n">
        <x:f>D286-SUMIFS(D$5:D$304,$A$5:$A$304,$A286,$B$5:$B$304,$B286,$C$5:$C$304,"双分支固定")</x:f>
        <x:v>0</x:v>
      </x:c>
      <x:c r="H286" s="10" t="n">
        <x:f>E286-SUMIFS(E$5:E$304,$A$5:$A$304,$A286,$B$5:$B$304,$B286,$C$5:$C$304,"双分支固定")</x:f>
        <x:v>0.001640000366757044</x:v>
      </x:c>
      <x:c r="I286" s="10" t="n">
        <x:f>F286-SUMIFS(F$5:F$304,$A$5:$A$304,$A286,$B$5:$B$304,$B286,$C$5:$C$304,"双分支固定")</x:f>
        <x:v>0.002059112042909317</x:v>
      </x:c>
    </x:row>
    <x:row r="287" ht="22" customHeight="1">
      <x:c r="A287" s="2" t="str">
        <x:v>zipper</x:v>
      </x:c>
      <x:c r="B287" s="2" t="n">
        <x:v>0</x:v>
      </x:c>
      <x:c r="C287" s="2" t="str">
        <x:v>像素敏感性</x:v>
      </x:c>
      <x:c r="D287" s="9" t="n">
        <x:v>0.9944852941176471</x:v>
      </x:c>
      <x:c r="E287" s="9" t="n">
        <x:v>0.9886941813824149</x:v>
      </x:c>
      <x:c r="F287" s="9" t="n">
        <x:v>0.9856699002260096</x:v>
      </x:c>
      <x:c r="G287" s="10" t="n">
        <x:f>D287-SUMIFS(D$5:D$304,$A$5:$A$304,$A287,$B$5:$B$304,$B287,$C$5:$C$304,"双分支固定")</x:f>
        <x:v>0</x:v>
      </x:c>
      <x:c r="H287" s="10" t="n">
        <x:f>E287-SUMIFS(E$5:E$304,$A$5:$A$304,$A287,$B$5:$B$304,$B287,$C$5:$C$304,"双分支固定")</x:f>
        <x:v>0.005270754107213227</x:v>
      </x:c>
      <x:c r="I287" s="10" t="n">
        <x:f>F287-SUMIFS(F$5:F$304,$A$5:$A$304,$A287,$B$5:$B$304,$B287,$C$5:$C$304,"双分支固定")</x:f>
        <x:v>0.006659654295336437</x:v>
      </x:c>
    </x:row>
    <x:row r="288" ht="22" customHeight="1">
      <x:c r="A288" s="2" t="str">
        <x:v>zipper</x:v>
      </x:c>
      <x:c r="B288" s="2" t="n">
        <x:v>0</x:v>
      </x:c>
      <x:c r="C288" s="2" t="str">
        <x:v>收缩0.25</x:v>
      </x:c>
      <x:c r="D288" s="9" t="n">
        <x:v>0.9944852941176471</x:v>
      </x:c>
      <x:c r="E288" s="9" t="n">
        <x:v>0.9850634276419588</x:v>
      </x:c>
      <x:c r="F288" s="9" t="n">
        <x:v>0.9810693579735825</x:v>
      </x:c>
      <x:c r="G288" s="10" t="n">
        <x:f>D288-SUMIFS(D$5:D$304,$A$5:$A$304,$A288,$B$5:$B$304,$B288,$C$5:$C$304,"双分支固定")</x:f>
        <x:v>0</x:v>
      </x:c>
      <x:c r="H288" s="10" t="n">
        <x:f>E288-SUMIFS(E$5:E$304,$A$5:$A$304,$A288,$B$5:$B$304,$B288,$C$5:$C$304,"双分支固定")</x:f>
        <x:v>0.001640000366757044</x:v>
      </x:c>
      <x:c r="I288" s="10" t="n">
        <x:f>F288-SUMIFS(F$5:F$304,$A$5:$A$304,$A288,$B$5:$B$304,$B288,$C$5:$C$304,"双分支固定")</x:f>
        <x:v>0.002059112042909317</x:v>
      </x:c>
    </x:row>
    <x:row r="289" ht="22" customHeight="1">
      <x:c r="A289" s="2" t="str">
        <x:v>zipper</x:v>
      </x:c>
      <x:c r="B289" s="2" t="n">
        <x:v>1</x:v>
      </x:c>
      <x:c r="C289" s="2" t="str">
        <x:v>双分支固定</x:v>
      </x:c>
      <x:c r="D289" s="9" t="n">
        <x:v>0.9965861344537815</x:v>
      </x:c>
      <x:c r="E289" s="9" t="n">
        <x:v>0.9833108543888813</x:v>
      </x:c>
      <x:c r="F289" s="9" t="n">
        <x:v>0.9789531001658144</x:v>
      </x:c>
      <x:c r="G289" s="10" t="n">
        <x:f>D289-SUMIFS(D$5:D$304,$A$5:$A$304,$A289,$B$5:$B$304,$B289,$C$5:$C$304,"双分支固定")</x:f>
        <x:v>0</x:v>
      </x:c>
      <x:c r="H289" s="10" t="n">
        <x:f>E289-SUMIFS(E$5:E$304,$A$5:$A$304,$A289,$B$5:$B$304,$B289,$C$5:$C$304,"双分支固定")</x:f>
        <x:v>0</x:v>
      </x:c>
      <x:c r="I289" s="10" t="n">
        <x:f>F289-SUMIFS(F$5:F$304,$A$5:$A$304,$A289,$B$5:$B$304,$B289,$C$5:$C$304,"双分支固定")</x:f>
        <x:v>0</x:v>
      </x:c>
    </x:row>
    <x:row r="290" ht="22" customHeight="1">
      <x:c r="A290" s="2" t="str">
        <x:v>zipper</x:v>
      </x:c>
      <x:c r="B290" s="2" t="n">
        <x:v>1</x:v>
      </x:c>
      <x:c r="C290" s="2" t="str">
        <x:v>门控加收缩</x:v>
      </x:c>
      <x:c r="D290" s="9" t="n">
        <x:v>0.9965861344537815</x:v>
      </x:c>
      <x:c r="E290" s="9" t="n">
        <x:v>0.9849043788572902</x:v>
      </x:c>
      <x:c r="F290" s="9" t="n">
        <x:v>0.9809408415255813</x:v>
      </x:c>
      <x:c r="G290" s="10" t="n">
        <x:f>D290-SUMIFS(D$5:D$304,$A$5:$A$304,$A290,$B$5:$B$304,$B290,$C$5:$C$304,"双分支固定")</x:f>
        <x:v>0</x:v>
      </x:c>
      <x:c r="H290" s="10" t="n">
        <x:f>E290-SUMIFS(E$5:E$304,$A$5:$A$304,$A290,$B$5:$B$304,$B290,$C$5:$C$304,"双分支固定")</x:f>
        <x:v>0.00159352446840888</x:v>
      </x:c>
      <x:c r="I290" s="10" t="n">
        <x:f>F290-SUMIFS(F$5:F$304,$A$5:$A$304,$A290,$B$5:$B$304,$B290,$C$5:$C$304,"双分支固定")</x:f>
        <x:v>0.0019877413597668703</x:v>
      </x:c>
    </x:row>
    <x:row r="291" ht="22" customHeight="1">
      <x:c r="A291" s="2" t="str">
        <x:v>zipper</x:v>
      </x:c>
      <x:c r="B291" s="2" t="n">
        <x:v>1</x:v>
      </x:c>
      <x:c r="C291" s="2" t="str">
        <x:v>像素敏感性</x:v>
      </x:c>
      <x:c r="D291" s="9" t="n">
        <x:v>0.9965861344537815</x:v>
      </x:c>
      <x:c r="E291" s="9" t="n">
        <x:v>0.9884188184263765</x:v>
      </x:c>
      <x:c r="F291" s="9" t="n">
        <x:v>0.9853446113365164</x:v>
      </x:c>
      <x:c r="G291" s="10" t="n">
        <x:f>D291-SUMIFS(D$5:D$304,$A$5:$A$304,$A291,$B$5:$B$304,$B291,$C$5:$C$304,"双分支固定")</x:f>
        <x:v>0</x:v>
      </x:c>
      <x:c r="H291" s="10" t="n">
        <x:f>E291-SUMIFS(E$5:E$304,$A$5:$A$304,$A291,$B$5:$B$304,$B291,$C$5:$C$304,"双分支固定")</x:f>
        <x:v>0.0051079640374951385</x:v>
      </x:c>
      <x:c r="I291" s="10" t="n">
        <x:f>F291-SUMIFS(F$5:F$304,$A$5:$A$304,$A291,$B$5:$B$304,$B291,$C$5:$C$304,"双分支固定")</x:f>
        <x:v>0.0063915111707020245</x:v>
      </x:c>
    </x:row>
    <x:row r="292" ht="22" customHeight="1">
      <x:c r="A292" s="2" t="str">
        <x:v>zipper</x:v>
      </x:c>
      <x:c r="B292" s="2" t="n">
        <x:v>1</x:v>
      </x:c>
      <x:c r="C292" s="2" t="str">
        <x:v>收缩0.25</x:v>
      </x:c>
      <x:c r="D292" s="9" t="n">
        <x:v>0.9965861344537815</x:v>
      </x:c>
      <x:c r="E292" s="9" t="n">
        <x:v>0.9849043788572902</x:v>
      </x:c>
      <x:c r="F292" s="9" t="n">
        <x:v>0.9809408415255813</x:v>
      </x:c>
      <x:c r="G292" s="10" t="n">
        <x:f>D292-SUMIFS(D$5:D$304,$A$5:$A$304,$A292,$B$5:$B$304,$B292,$C$5:$C$304,"双分支固定")</x:f>
        <x:v>0</x:v>
      </x:c>
      <x:c r="H292" s="10" t="n">
        <x:f>E292-SUMIFS(E$5:E$304,$A$5:$A$304,$A292,$B$5:$B$304,$B292,$C$5:$C$304,"双分支固定")</x:f>
        <x:v>0.00159352446840888</x:v>
      </x:c>
      <x:c r="I292" s="10" t="n">
        <x:f>F292-SUMIFS(F$5:F$304,$A$5:$A$304,$A292,$B$5:$B$304,$B292,$C$5:$C$304,"双分支固定")</x:f>
        <x:v>0.0019877413597668703</x:v>
      </x:c>
    </x:row>
    <x:row r="293" ht="22" customHeight="1">
      <x:c r="A293" s="2" t="str">
        <x:v>zipper</x:v>
      </x:c>
      <x:c r="B293" s="2" t="n">
        <x:v>2</x:v>
      </x:c>
      <x:c r="C293" s="2" t="str">
        <x:v>双分支固定</x:v>
      </x:c>
      <x:c r="D293" s="9" t="n">
        <x:v>0.9929096638655462</x:v>
      </x:c>
      <x:c r="E293" s="9" t="n">
        <x:v>0.9834330675710787</x:v>
      </x:c>
      <x:c r="F293" s="9" t="n">
        <x:v>0.9790920688403435</x:v>
      </x:c>
      <x:c r="G293" s="10" t="n">
        <x:f>D293-SUMIFS(D$5:D$304,$A$5:$A$304,$A293,$B$5:$B$304,$B293,$C$5:$C$304,"双分支固定")</x:f>
        <x:v>0</x:v>
      </x:c>
      <x:c r="H293" s="10" t="n">
        <x:f>E293-SUMIFS(E$5:E$304,$A$5:$A$304,$A293,$B$5:$B$304,$B293,$C$5:$C$304,"双分支固定")</x:f>
        <x:v>0</x:v>
      </x:c>
      <x:c r="I293" s="10" t="n">
        <x:f>F293-SUMIFS(F$5:F$304,$A$5:$A$304,$A293,$B$5:$B$304,$B293,$C$5:$C$304,"双分支固定")</x:f>
        <x:v>0</x:v>
      </x:c>
    </x:row>
    <x:row r="294" ht="22" customHeight="1">
      <x:c r="A294" s="2" t="str">
        <x:v>zipper</x:v>
      </x:c>
      <x:c r="B294" s="2" t="n">
        <x:v>2</x:v>
      </x:c>
      <x:c r="C294" s="2" t="str">
        <x:v>门控加收缩</x:v>
      </x:c>
      <x:c r="D294" s="9" t="n">
        <x:v>0.9929096638655462</x:v>
      </x:c>
      <x:c r="E294" s="9" t="n">
        <x:v>0.9847080269889074</x:v>
      </x:c>
      <x:c r="F294" s="9" t="n">
        <x:v>0.9806805224454453</x:v>
      </x:c>
      <x:c r="G294" s="10" t="n">
        <x:f>D294-SUMIFS(D$5:D$304,$A$5:$A$304,$A294,$B$5:$B$304,$B294,$C$5:$C$304,"双分支固定")</x:f>
        <x:v>0</x:v>
      </x:c>
      <x:c r="H294" s="10" t="n">
        <x:f>E294-SUMIFS(E$5:E$304,$A$5:$A$304,$A294,$B$5:$B$304,$B294,$C$5:$C$304,"双分支固定")</x:f>
        <x:v>0.001274959417828625</x:v>
      </x:c>
      <x:c r="I294" s="10" t="n">
        <x:f>F294-SUMIFS(F$5:F$304,$A$5:$A$304,$A294,$B$5:$B$304,$B294,$C$5:$C$304,"双分支固定")</x:f>
        <x:v>0.0015884536051018472</x:v>
      </x:c>
    </x:row>
    <x:row r="295" ht="22" customHeight="1">
      <x:c r="A295" s="2" t="str">
        <x:v>zipper</x:v>
      </x:c>
      <x:c r="B295" s="2" t="n">
        <x:v>2</x:v>
      </x:c>
      <x:c r="C295" s="2" t="str">
        <x:v>像素敏感性</x:v>
      </x:c>
      <x:c r="D295" s="9" t="n">
        <x:v>0.9929096638655462</x:v>
      </x:c>
      <x:c r="E295" s="9" t="n">
        <x:v>0.9877702497844204</x:v>
      </x:c>
      <x:c r="F295" s="9" t="n">
        <x:v>0.984502751605342</x:v>
      </x:c>
      <x:c r="G295" s="10" t="n">
        <x:f>D295-SUMIFS(D$5:D$304,$A$5:$A$304,$A295,$B$5:$B$304,$B295,$C$5:$C$304,"双分支固定")</x:f>
        <x:v>0</x:v>
      </x:c>
      <x:c r="H295" s="10" t="n">
        <x:f>E295-SUMIFS(E$5:E$304,$A$5:$A$304,$A295,$B$5:$B$304,$B295,$C$5:$C$304,"双分支固定")</x:f>
        <x:v>0.004337182213341673</x:v>
      </x:c>
      <x:c r="I295" s="10" t="n">
        <x:f>F295-SUMIFS(F$5:F$304,$A$5:$A$304,$A295,$B$5:$B$304,$B295,$C$5:$C$304,"双分支固定")</x:f>
        <x:v>0.0054106827649984535</x:v>
      </x:c>
    </x:row>
    <x:row r="296" ht="22" customHeight="1">
      <x:c r="A296" s="2" t="str">
        <x:v>zipper</x:v>
      </x:c>
      <x:c r="B296" s="2" t="n">
        <x:v>2</x:v>
      </x:c>
      <x:c r="C296" s="2" t="str">
        <x:v>收缩0.25</x:v>
      </x:c>
      <x:c r="D296" s="9" t="n">
        <x:v>0.9929096638655462</x:v>
      </x:c>
      <x:c r="E296" s="9" t="n">
        <x:v>0.9847080269889074</x:v>
      </x:c>
      <x:c r="F296" s="9" t="n">
        <x:v>0.9806805224454453</x:v>
      </x:c>
      <x:c r="G296" s="10" t="n">
        <x:f>D296-SUMIFS(D$5:D$304,$A$5:$A$304,$A296,$B$5:$B$304,$B296,$C$5:$C$304,"双分支固定")</x:f>
        <x:v>0</x:v>
      </x:c>
      <x:c r="H296" s="10" t="n">
        <x:f>E296-SUMIFS(E$5:E$304,$A$5:$A$304,$A296,$B$5:$B$304,$B296,$C$5:$C$304,"双分支固定")</x:f>
        <x:v>0.001274959417828625</x:v>
      </x:c>
      <x:c r="I296" s="10" t="n">
        <x:f>F296-SUMIFS(F$5:F$304,$A$5:$A$304,$A296,$B$5:$B$304,$B296,$C$5:$C$304,"双分支固定")</x:f>
        <x:v>0.0015884536051018472</x:v>
      </x:c>
    </x:row>
    <x:row r="297" ht="22" customHeight="1">
      <x:c r="A297" s="2" t="str">
        <x:v>zipper</x:v>
      </x:c>
      <x:c r="B297" s="2" t="n">
        <x:v>3</x:v>
      </x:c>
      <x:c r="C297" s="2" t="str">
        <x:v>双分支固定</x:v>
      </x:c>
      <x:c r="D297" s="9" t="n">
        <x:v>0.9968487394957983</x:v>
      </x:c>
      <x:c r="E297" s="9" t="n">
        <x:v>0.9827957727744595</x:v>
      </x:c>
      <x:c r="F297" s="9" t="n">
        <x:v>0.978323519250434</x:v>
      </x:c>
      <x:c r="G297" s="10" t="n">
        <x:f>D297-SUMIFS(D$5:D$304,$A$5:$A$304,$A297,$B$5:$B$304,$B297,$C$5:$C$304,"双分支固定")</x:f>
        <x:v>0</x:v>
      </x:c>
      <x:c r="H297" s="10" t="n">
        <x:f>E297-SUMIFS(E$5:E$304,$A$5:$A$304,$A297,$B$5:$B$304,$B297,$C$5:$C$304,"双分支固定")</x:f>
        <x:v>0</x:v>
      </x:c>
      <x:c r="I297" s="10" t="n">
        <x:f>F297-SUMIFS(F$5:F$304,$A$5:$A$304,$A297,$B$5:$B$304,$B297,$C$5:$C$304,"双分支固定")</x:f>
        <x:v>0</x:v>
      </x:c>
    </x:row>
    <x:row r="298" ht="22" customHeight="1">
      <x:c r="A298" s="2" t="str">
        <x:v>zipper</x:v>
      </x:c>
      <x:c r="B298" s="2" t="n">
        <x:v>3</x:v>
      </x:c>
      <x:c r="C298" s="2" t="str">
        <x:v>门控加收缩</x:v>
      </x:c>
      <x:c r="D298" s="9" t="n">
        <x:v>0.9968487394957983</x:v>
      </x:c>
      <x:c r="E298" s="9" t="n">
        <x:v>0.9845919657656238</x:v>
      </x:c>
      <x:c r="F298" s="9" t="n">
        <x:v>0.9805635043853791</x:v>
      </x:c>
      <x:c r="G298" s="10" t="n">
        <x:f>D298-SUMIFS(D$5:D$304,$A$5:$A$304,$A298,$B$5:$B$304,$B298,$C$5:$C$304,"双分支固定")</x:f>
        <x:v>0</x:v>
      </x:c>
      <x:c r="H298" s="10" t="n">
        <x:f>E298-SUMIFS(E$5:E$304,$A$5:$A$304,$A298,$B$5:$B$304,$B298,$C$5:$C$304,"双分支固定")</x:f>
        <x:v>0.0017961929911642915</x:v>
      </x:c>
      <x:c r="I298" s="10" t="n">
        <x:f>F298-SUMIFS(F$5:F$304,$A$5:$A$304,$A298,$B$5:$B$304,$B298,$C$5:$C$304,"双分支固定")</x:f>
        <x:v>0.002239985134945055</x:v>
      </x:c>
    </x:row>
    <x:row r="299" ht="22" customHeight="1">
      <x:c r="A299" s="2" t="str">
        <x:v>zipper</x:v>
      </x:c>
      <x:c r="B299" s="2" t="n">
        <x:v>3</x:v>
      </x:c>
      <x:c r="C299" s="2" t="str">
        <x:v>像素敏感性</x:v>
      </x:c>
      <x:c r="D299" s="9" t="n">
        <x:v>0.9968487394957983</x:v>
      </x:c>
      <x:c r="E299" s="9" t="n">
        <x:v>0.9885070706585992</x:v>
      </x:c>
      <x:c r="F299" s="9" t="n">
        <x:v>0.9854899327253408</x:v>
      </x:c>
      <x:c r="G299" s="10" t="n">
        <x:f>D299-SUMIFS(D$5:D$304,$A$5:$A$304,$A299,$B$5:$B$304,$B299,$C$5:$C$304,"双分支固定")</x:f>
        <x:v>0</x:v>
      </x:c>
      <x:c r="H299" s="10" t="n">
        <x:f>E299-SUMIFS(E$5:E$304,$A$5:$A$304,$A299,$B$5:$B$304,$B299,$C$5:$C$304,"双分支固定")</x:f>
        <x:v>0.00571129788413971</x:v>
      </x:c>
      <x:c r="I299" s="10" t="n">
        <x:f>F299-SUMIFS(F$5:F$304,$A$5:$A$304,$A299,$B$5:$B$304,$B299,$C$5:$C$304,"双分支固定")</x:f>
        <x:v>0.007166413474906763</x:v>
      </x:c>
    </x:row>
    <x:row r="300" ht="22" customHeight="1">
      <x:c r="A300" s="2" t="str">
        <x:v>zipper</x:v>
      </x:c>
      <x:c r="B300" s="2" t="n">
        <x:v>3</x:v>
      </x:c>
      <x:c r="C300" s="2" t="str">
        <x:v>收缩0.25</x:v>
      </x:c>
      <x:c r="D300" s="9" t="n">
        <x:v>0.9968487394957983</x:v>
      </x:c>
      <x:c r="E300" s="9" t="n">
        <x:v>0.9845919657656238</x:v>
      </x:c>
      <x:c r="F300" s="9" t="n">
        <x:v>0.9805635043853791</x:v>
      </x:c>
      <x:c r="G300" s="10" t="n">
        <x:f>D300-SUMIFS(D$5:D$304,$A$5:$A$304,$A300,$B$5:$B$304,$B300,$C$5:$C$304,"双分支固定")</x:f>
        <x:v>0</x:v>
      </x:c>
      <x:c r="H300" s="10" t="n">
        <x:f>E300-SUMIFS(E$5:E$304,$A$5:$A$304,$A300,$B$5:$B$304,$B300,$C$5:$C$304,"双分支固定")</x:f>
        <x:v>0.0017961929911642915</x:v>
      </x:c>
      <x:c r="I300" s="10" t="n">
        <x:f>F300-SUMIFS(F$5:F$304,$A$5:$A$304,$A300,$B$5:$B$304,$B300,$C$5:$C$304,"双分支固定")</x:f>
        <x:v>0.002239985134945055</x:v>
      </x:c>
    </x:row>
    <x:row r="301" ht="22" customHeight="1">
      <x:c r="A301" s="2" t="str">
        <x:v>zipper</x:v>
      </x:c>
      <x:c r="B301" s="2" t="n">
        <x:v>4</x:v>
      </x:c>
      <x:c r="C301" s="2" t="str">
        <x:v>双分支固定</x:v>
      </x:c>
      <x:c r="D301" s="9" t="n">
        <x:v>0.9957983193277311</x:v>
      </x:c>
      <x:c r="E301" s="9" t="n">
        <x:v>0.9833568994212323</x:v>
      </x:c>
      <x:c r="F301" s="9" t="n">
        <x:v>0.9789250298087513</x:v>
      </x:c>
      <x:c r="G301" s="10" t="n">
        <x:f>D301-SUMIFS(D$5:D$304,$A$5:$A$304,$A301,$B$5:$B$304,$B301,$C$5:$C$304,"双分支固定")</x:f>
        <x:v>0</x:v>
      </x:c>
      <x:c r="H301" s="10" t="n">
        <x:f>E301-SUMIFS(E$5:E$304,$A$5:$A$304,$A301,$B$5:$B$304,$B301,$C$5:$C$304,"双分支固定")</x:f>
        <x:v>0</x:v>
      </x:c>
      <x:c r="I301" s="10" t="n">
        <x:f>F301-SUMIFS(F$5:F$304,$A$5:$A$304,$A301,$B$5:$B$304,$B301,$C$5:$C$304,"双分支固定")</x:f>
        <x:v>0</x:v>
      </x:c>
    </x:row>
    <x:row r="302" ht="22" customHeight="1">
      <x:c r="A302" s="2" t="str">
        <x:v>zipper</x:v>
      </x:c>
      <x:c r="B302" s="2" t="n">
        <x:v>4</x:v>
      </x:c>
      <x:c r="C302" s="2" t="str">
        <x:v>门控加收缩</x:v>
      </x:c>
      <x:c r="D302" s="9" t="n">
        <x:v>0.9957983193277311</x:v>
      </x:c>
      <x:c r="E302" s="9" t="n">
        <x:v>0.9842058288346472</x:v>
      </x:c>
      <x:c r="F302" s="9" t="n">
        <x:v>0.9799812988109345</x:v>
      </x:c>
      <x:c r="G302" s="10" t="n">
        <x:f>D302-SUMIFS(D$5:D$304,$A$5:$A$304,$A302,$B$5:$B$304,$B302,$C$5:$C$304,"双分支固定")</x:f>
        <x:v>0</x:v>
      </x:c>
      <x:c r="H302" s="10" t="n">
        <x:f>E302-SUMIFS(E$5:E$304,$A$5:$A$304,$A302,$B$5:$B$304,$B302,$C$5:$C$304,"双分支固定")</x:f>
        <x:v>0.0008489294134149672</x:v>
      </x:c>
      <x:c r="I302" s="10" t="n">
        <x:f>F302-SUMIFS(F$5:F$304,$A$5:$A$304,$A302,$B$5:$B$304,$B302,$C$5:$C$304,"双分支固定")</x:f>
        <x:v>0.0010562690021832521</x:v>
      </x:c>
    </x:row>
    <x:row r="303" ht="22" customHeight="1">
      <x:c r="A303" s="2" t="str">
        <x:v>zipper</x:v>
      </x:c>
      <x:c r="B303" s="2" t="n">
        <x:v>4</x:v>
      </x:c>
      <x:c r="C303" s="2" t="str">
        <x:v>像素敏感性</x:v>
      </x:c>
      <x:c r="D303" s="9" t="n">
        <x:v>0.9957983193277311</x:v>
      </x:c>
      <x:c r="E303" s="9" t="n">
        <x:v>0.986442821591323</x:v>
      </x:c>
      <x:c r="F303" s="9" t="n">
        <x:v>0.9827907010104104</x:v>
      </x:c>
      <x:c r="G303" s="10" t="n">
        <x:f>D303-SUMIFS(D$5:D$304,$A$5:$A$304,$A303,$B$5:$B$304,$B303,$C$5:$C$304,"双分支固定")</x:f>
        <x:v>0</x:v>
      </x:c>
      <x:c r="H303" s="10" t="n">
        <x:f>E303-SUMIFS(E$5:E$304,$A$5:$A$304,$A303,$B$5:$B$304,$B303,$C$5:$C$304,"双分支固定")</x:f>
        <x:v>0.003085922170090738</x:v>
      </x:c>
      <x:c r="I303" s="10" t="n">
        <x:f>F303-SUMIFS(F$5:F$304,$A$5:$A$304,$A303,$B$5:$B$304,$B303,$C$5:$C$304,"双分支固定")</x:f>
        <x:v>0.003865671201659149</x:v>
      </x:c>
    </x:row>
    <x:row r="304" ht="22" customHeight="1">
      <x:c r="A304" s="2" t="str">
        <x:v>zipper</x:v>
      </x:c>
      <x:c r="B304" s="2" t="n">
        <x:v>4</x:v>
      </x:c>
      <x:c r="C304" s="2" t="str">
        <x:v>收缩0.25</x:v>
      </x:c>
      <x:c r="D304" s="9" t="n">
        <x:v>0.9957983193277311</x:v>
      </x:c>
      <x:c r="E304" s="9" t="n">
        <x:v>0.9842058288346472</x:v>
      </x:c>
      <x:c r="F304" s="9" t="n">
        <x:v>0.9799812988109345</x:v>
      </x:c>
      <x:c r="G304" s="10" t="n">
        <x:f>D304-SUMIFS(D$5:D$304,$A$5:$A$304,$A304,$B$5:$B$304,$B304,$C$5:$C$304,"双分支固定")</x:f>
        <x:v>0</x:v>
      </x:c>
      <x:c r="H304" s="10" t="n">
        <x:f>E304-SUMIFS(E$5:E$304,$A$5:$A$304,$A304,$B$5:$B$304,$B304,$C$5:$C$304,"双分支固定")</x:f>
        <x:v>0.0008489294134149672</x:v>
      </x:c>
      <x:c r="I304" s="10" t="n">
        <x:f>F304-SUMIFS(F$5:F$304,$A$5:$A$304,$A304,$B$5:$B$304,$B304,$C$5:$C$304,"双分支固定")</x:f>
        <x:v>0.0010562690021832521</x:v>
      </x:c>
    </x:row>
    <x:row r="305" ht="22" customHeight="1">
      <x:c r="A305" s="2"/>
      <x:c r="B305" s="2"/>
      <x:c r="C305" s="2"/>
      <x:c r="D305" s="2"/>
      <x:c r="E305" s="2"/>
      <x:c r="F305" s="2"/>
      <x:c r="G305" s="2"/>
      <x:c r="H305" s="2"/>
      <x:c r="I305" s="2"/>
    </x:row>
  </x:sheetData>
  <x:conditionalFormatting sqref="G5:I304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</x:worksheet>
</file>